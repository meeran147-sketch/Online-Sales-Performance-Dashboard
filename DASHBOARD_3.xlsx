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7d9c01a3af9e5cd8/Desktop/Meeran/Projects/"/>
    </mc:Choice>
  </mc:AlternateContent>
  <xr:revisionPtr revIDLastSave="62" documentId="13_ncr:1_{EF324C36-0C10-4725-AB7B-E8E845B9284D}" xr6:coauthVersionLast="47" xr6:coauthVersionMax="47" xr10:uidLastSave="{877FC5DA-CBCC-4483-BAA6-785F044F1952}"/>
  <bookViews>
    <workbookView xWindow="-108" yWindow="-108" windowWidth="23256" windowHeight="12456" activeTab="1" xr2:uid="{F03D08B7-A342-414A-ACF3-5017E2779ADB}"/>
  </bookViews>
  <sheets>
    <sheet name="Sheet1" sheetId="1" r:id="rId1"/>
    <sheet name="DASHBOARD_1" sheetId="2" r:id="rId2"/>
  </sheets>
  <definedNames>
    <definedName name="Slicer_Region">#N/A</definedName>
    <definedName name="Slicer_Sales_Rep">#N/A</definedName>
    <definedName name="Timeline_Order_Date">#N/A</definedName>
  </definedNames>
  <calcPr calcId="191029"/>
  <pivotCaches>
    <pivotCache cacheId="292" r:id="rId3"/>
    <pivotCache cacheId="293" r:id="rId4"/>
    <pivotCache cacheId="294" r:id="rId5"/>
    <pivotCache cacheId="295" r:id="rId6"/>
    <pivotCache cacheId="296" r:id="rId7"/>
    <pivotCache cacheId="297" r:id="rId8"/>
    <pivotCache cacheId="298" r:id="rId9"/>
    <pivotCache cacheId="299" r:id="rId10"/>
    <pivotCache cacheId="300" r:id="rId11"/>
    <pivotCache cacheId="301" r:id="rId12"/>
    <pivotCache cacheId="302" r:id="rId13"/>
  </pivotCaches>
  <extLst>
    <ext xmlns:x14="http://schemas.microsoft.com/office/spreadsheetml/2009/9/main" uri="{876F7934-8845-4945-9796-88D515C7AA90}">
      <x14:pivotCaches>
        <pivotCache cacheId="303"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4"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fafbcb8c-5c18-4560-9d85-ea6c28fb38b3" name="Customers" connection="Query - Customers"/>
          <x15:modelTable id="Order_Details_9524f6d5-d62d-49b5-b16b-563c1ad452bb" name="Order_Details" connection="Query - Order_Details"/>
          <x15:modelTable id="Products_f586df7e-406f-4658-bfd0-46dea0e623b8" name="Products" connection="Query - Products"/>
          <x15:modelTable id="Sales_Orders_c00a8e17-133f-4f47-90f3-e7b2cf230f14" name="Sales_Orders" connection="Query - Sales_Orders"/>
        </x15:modelTables>
        <x15:extLst>
          <ext xmlns:x16="http://schemas.microsoft.com/office/spreadsheetml/2014/11/main" uri="{9835A34E-60A6-4A7C-AAB8-D5F71C897F49}">
            <x16:modelTimeGroupings>
              <x16:modelTimeGrouping tableName="Sales_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 i="2" l="1"/>
  <c r="T11" i="2"/>
  <c r="T10" i="2"/>
  <c r="T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48A6AD-F356-4D4C-A9D9-BB9798BCE85F}" name="Query - Customers" description="Connection to the 'Customers' query in the workbook." type="100" refreshedVersion="8" minRefreshableVersion="5">
    <extLst>
      <ext xmlns:x15="http://schemas.microsoft.com/office/spreadsheetml/2010/11/main" uri="{DE250136-89BD-433C-8126-D09CA5730AF9}">
        <x15:connection id="baff01e4-1441-413c-9a74-4283bf4259d3"/>
      </ext>
    </extLst>
  </connection>
  <connection id="2" xr16:uid="{C54A1676-8CB0-4C2F-9DA7-2817FE41D01F}" name="Query - Order_Details" description="Connection to the 'Order_Details' query in the workbook." type="100" refreshedVersion="8" minRefreshableVersion="5">
    <extLst>
      <ext xmlns:x15="http://schemas.microsoft.com/office/spreadsheetml/2010/11/main" uri="{DE250136-89BD-433C-8126-D09CA5730AF9}">
        <x15:connection id="e621c51a-e810-4368-9ec9-d14c6943c24c"/>
      </ext>
    </extLst>
  </connection>
  <connection id="3" xr16:uid="{78F53742-2717-474C-91C3-C18E5E6D7EF6}" name="Query - Products" description="Connection to the 'Products' query in the workbook." type="100" refreshedVersion="8" minRefreshableVersion="5">
    <extLst>
      <ext xmlns:x15="http://schemas.microsoft.com/office/spreadsheetml/2010/11/main" uri="{DE250136-89BD-433C-8126-D09CA5730AF9}">
        <x15:connection id="1e3e6432-7cb2-4f9b-9b58-2d2d51b9c176"/>
      </ext>
    </extLst>
  </connection>
  <connection id="4" xr16:uid="{D0EA5717-51C9-4754-8489-BF510694E62C}" name="Query - Sales_Orders" description="Connection to the 'Sales_Orders' query in the workbook." type="100" refreshedVersion="8" minRefreshableVersion="5">
    <extLst>
      <ext xmlns:x15="http://schemas.microsoft.com/office/spreadsheetml/2010/11/main" uri="{DE250136-89BD-433C-8126-D09CA5730AF9}">
        <x15:connection id="1590e79a-fcb3-4035-a948-9cfe629cc612"/>
      </ext>
    </extLst>
  </connection>
  <connection id="5" xr16:uid="{977A7641-3D42-41D3-8227-5159BAF415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<sst xmlns="http://schemas.openxmlformats.org/spreadsheetml/2006/main" count="442" uniqueCount="34">
  <si>
    <t>Count of Order_ID</t>
  </si>
  <si>
    <t>Count of Discount_%</t>
  </si>
  <si>
    <r>
      <rPr>
        <b/>
        <sz val="28"/>
        <color rgb="FFFF0000"/>
        <rFont val="Aptos Narrow"/>
        <family val="2"/>
        <scheme val="minor"/>
      </rPr>
      <t>D</t>
    </r>
    <r>
      <rPr>
        <b/>
        <sz val="28"/>
        <color theme="1"/>
        <rFont val="Aptos Narrow"/>
        <family val="2"/>
        <scheme val="minor"/>
      </rPr>
      <t xml:space="preserve">ashboard </t>
    </r>
  </si>
  <si>
    <t>Online Sales</t>
  </si>
  <si>
    <t>Sum of Order_Amount</t>
  </si>
  <si>
    <t>Sum of Quantity</t>
  </si>
  <si>
    <t>Grand Total</t>
  </si>
  <si>
    <t>Jan</t>
  </si>
  <si>
    <t>Feb</t>
  </si>
  <si>
    <t>Mar</t>
  </si>
  <si>
    <t>Apr</t>
  </si>
  <si>
    <t>May</t>
  </si>
  <si>
    <t>Jun</t>
  </si>
  <si>
    <t>Jul</t>
  </si>
  <si>
    <t>Aug</t>
  </si>
  <si>
    <t>Sep</t>
  </si>
  <si>
    <t>Oct</t>
  </si>
  <si>
    <t>Nov</t>
  </si>
  <si>
    <t>Dec</t>
  </si>
  <si>
    <t>Row Labels</t>
  </si>
  <si>
    <t>(blank)</t>
  </si>
  <si>
    <t>East</t>
  </si>
  <si>
    <t>North</t>
  </si>
  <si>
    <t>South</t>
  </si>
  <si>
    <t>WEST</t>
  </si>
  <si>
    <t>Sum of Unit_Price</t>
  </si>
  <si>
    <t>Arun</t>
  </si>
  <si>
    <t>John</t>
  </si>
  <si>
    <t>Karthik</t>
  </si>
  <si>
    <t>Meena</t>
  </si>
  <si>
    <t>Priya</t>
  </si>
  <si>
    <t>Order_Amount</t>
  </si>
  <si>
    <t>Quantity</t>
  </si>
  <si>
    <t>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</si>
</sst>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0"/>
      <name val="Aptos Narrow"/>
      <family val="2"/>
      <scheme val="minor"/>
    </font>
    <font>
      <b/>
      <sz val="28"/>
      <color theme="1"/>
      <name val="Aptos Narrow"/>
      <family val="2"/>
      <scheme val="minor"/>
    </font>
    <font>
      <b/>
      <sz val="28"/>
      <color rgb="FFFF0000"/>
      <name val="Aptos Narrow"/>
      <family val="2"/>
      <scheme val="minor"/>
    </font>
    <font>
      <b/>
      <sz val="22"/>
      <color theme="5"/>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4" fillId="0" borderId="0" xfId="0" applyFont="1"/>
    <xf numFmtId="0" fontId="0" fillId="0" borderId="0" xfId="0" pivotButton="1"/>
    <xf numFmtId="0" fontId="1" fillId="0" borderId="0" xfId="0" applyFont="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2">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3A17B8B2-BE3D-4241-ABB9-361B821400BB}">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microsoft.com/office/2011/relationships/timelineCache" Target="timelineCaches/timelineCache1.xml"/><Relationship Id="rId3" Type="http://schemas.openxmlformats.org/officeDocument/2006/relationships/pivotCacheDefinition" Target="pivotCache/pivotCacheDefinition1.xml"/><Relationship Id="rId21" Type="http://schemas.openxmlformats.org/officeDocument/2006/relationships/styles" Target="styles.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8.xml"/><Relationship Id="rId19" Type="http://schemas.openxmlformats.org/officeDocument/2006/relationships/theme" Target="theme/them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[DASHBOARD_3.xlsx]Sheet1!PivotTable5</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Sale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gradFill>
            <a:gsLst>
              <a:gs pos="0">
                <a:schemeClr val="accent1">
                  <a:lumMod val="5000"/>
                  <a:lumOff val="95000"/>
                </a:schemeClr>
              </a:gs>
              <a:gs pos="74000">
                <a:schemeClr val="tx1">
                  <a:lumMod val="65000"/>
                  <a:lumOff val="35000"/>
                </a:schemeClr>
              </a:gs>
              <a:gs pos="83000">
                <a:schemeClr val="tx1">
                  <a:lumMod val="75000"/>
                  <a:lumOff val="25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Sheet1!$B$15</c:f>
              <c:strCache>
                <c:ptCount val="1"/>
                <c:pt idx="0">
                  <c:v>Total</c:v>
                </c:pt>
              </c:strCache>
            </c:strRef>
          </c:tx>
          <c:spPr>
            <a:gradFill>
              <a:gsLst>
                <a:gs pos="0">
                  <a:schemeClr val="accent1">
                    <a:lumMod val="5000"/>
                    <a:lumOff val="95000"/>
                  </a:schemeClr>
                </a:gs>
                <a:gs pos="74000">
                  <a:schemeClr val="tx1">
                    <a:lumMod val="65000"/>
                    <a:lumOff val="35000"/>
                  </a:schemeClr>
                </a:gs>
                <a:gs pos="83000">
                  <a:schemeClr val="tx1">
                    <a:lumMod val="75000"/>
                    <a:lumOff val="25000"/>
                  </a:schemeClr>
                </a:gs>
                <a:gs pos="100000">
                  <a:schemeClr val="tx1">
                    <a:lumMod val="95000"/>
                    <a:lumOff val="5000"/>
                  </a:schemeClr>
                </a:gs>
              </a:gsLst>
              <a:lin ang="5400000" scaled="1"/>
            </a:gradFill>
            <a:ln>
              <a:noFill/>
            </a:ln>
            <a:effectLst/>
          </c:spPr>
          <c:cat>
            <c:strRef>
              <c:f>Sheet1!$A$16:$A$28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Sheet1!$B$16:$B$28</c:f>
              <c:numCache>
                <c:formatCode>General</c:formatCode>
                <c:ptCount val="12"/>
                <c:pt idx="0">
                  <c:v>3175687.57</c:v>
                </c:pt>
                <c:pt idx="1">
                  <c:v>3055016.8</c:v>
                </c:pt>
                <c:pt idx="2">
                  <c:v>3273109.1</c:v>
                </c:pt>
                <c:pt idx="3">
                  <c:v>2548472.75</c:v>
                </c:pt>
                <c:pt idx="4">
                  <c:v>2286388.4500000002</c:v>
                </c:pt>
                <c:pt idx="5">
                  <c:v>2221640.59</c:v>
                </c:pt>
                <c:pt idx="6">
                  <c:v>2383052.7999999998</c:v>
                </c:pt>
                <c:pt idx="7">
                  <c:v>2143820.87</c:v>
                </c:pt>
                <c:pt idx="8">
                  <c:v>2336345.14</c:v>
                </c:pt>
                <c:pt idx="9">
                  <c:v>2245615.4500000002</c:v>
                </c:pt>
                <c:pt idx="10">
                  <c:v>2325066.86</c:v>
                </c:pt>
                <c:pt idx="11">
                  <c:v>2255634.2400000002</c:v>
                </c:pt>
              </c:numCache>
            </c:numRef>
          </c:val>
          <c:extLst>
            <c:ext xmlns:c16="http://schemas.microsoft.com/office/drawing/2014/chart" uri="{C3380CC4-5D6E-409C-BE32-E72D297353CC}">
              <c16:uniqueId val="{00000000-C52A-4C63-8F0C-6B24E9A13447}"/>
            </c:ext>
          </c:extLst>
        </c:ser>
        <c:dLbls>
          <c:showLegendKey val="0"/>
          <c:showVal val="0"/>
          <c:showCatName val="0"/>
          <c:showSerName val="0"/>
          <c:showPercent val="0"/>
          <c:showBubbleSize val="0"/>
        </c:dLbls>
        <c:axId val="1354055744"/>
        <c:axId val="1354056224"/>
      </c:areaChart>
      <c:catAx>
        <c:axId val="135405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056224"/>
        <c:crosses val="autoZero"/>
        <c:auto val="1"/>
        <c:lblAlgn val="ctr"/>
        <c:lblOffset val="100"/>
        <c:noMultiLvlLbl val="0"/>
      </c:catAx>
      <c:valAx>
        <c:axId val="135405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055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[DASHBOARD_3.xlsx]Sheet1!PivotTable6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Sheet1!$B$31</c:f>
              <c:strCache>
                <c:ptCount val="1"/>
                <c:pt idx="0">
                  <c:v>Sum of Order_Amount</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Sheet1!$A$32:$A$37</c:f>
              <c:strCache>
                <c:ptCount val="5"/>
                <c:pt idx="0">
                  <c:v>East</c:v>
                </c:pt>
                <c:pt idx="1">
                  <c:v>South</c:v>
                </c:pt>
                <c:pt idx="2">
                  <c:v>(blank)</c:v>
                </c:pt>
                <c:pt idx="3">
                  <c:v>North</c:v>
                </c:pt>
                <c:pt idx="4">
                  <c:v>WEST</c:v>
                </c:pt>
              </c:strCache>
            </c:strRef>
          </c:cat>
          <c:val>
            <c:numRef>
              <c:f>Sheet1!$B$32:$B$37</c:f>
              <c:numCache>
                <c:formatCode>General</c:formatCode>
                <c:ptCount val="5"/>
                <c:pt idx="0">
                  <c:v>3928722.14</c:v>
                </c:pt>
                <c:pt idx="1">
                  <c:v>3987731.86</c:v>
                </c:pt>
                <c:pt idx="2">
                  <c:v>4640312.08</c:v>
                </c:pt>
                <c:pt idx="3">
                  <c:v>8373432.9199999999</c:v>
                </c:pt>
                <c:pt idx="4">
                  <c:v>9319651.6199999992</c:v>
                </c:pt>
              </c:numCache>
            </c:numRef>
          </c:val>
          <c:extLst>
            <c:ext xmlns:c16="http://schemas.microsoft.com/office/drawing/2014/chart" uri="{C3380CC4-5D6E-409C-BE32-E72D297353CC}">
              <c16:uniqueId val="{00000000-1C56-48FC-A40A-6580433F8817}"/>
            </c:ext>
          </c:extLst>
        </c:ser>
        <c:ser>
          <c:idx val="1"/>
          <c:order val="1"/>
          <c:tx>
            <c:strRef>
              <c:f>Sheet1!$C$31</c:f>
              <c:strCache>
                <c:ptCount val="1"/>
                <c:pt idx="0">
                  <c:v>Sum of Unit_Price</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Sheet1!$A$32:$A$37</c:f>
              <c:strCache>
                <c:ptCount val="5"/>
                <c:pt idx="0">
                  <c:v>East</c:v>
                </c:pt>
                <c:pt idx="1">
                  <c:v>South</c:v>
                </c:pt>
                <c:pt idx="2">
                  <c:v>(blank)</c:v>
                </c:pt>
                <c:pt idx="3">
                  <c:v>North</c:v>
                </c:pt>
                <c:pt idx="4">
                  <c:v>WEST</c:v>
                </c:pt>
              </c:strCache>
            </c:strRef>
          </c:cat>
          <c:val>
            <c:numRef>
              <c:f>Sheet1!$C$32:$C$37</c:f>
              <c:numCache>
                <c:formatCode>General</c:formatCode>
                <c:ptCount val="5"/>
                <c:pt idx="0">
                  <c:v>9027026.9000000004</c:v>
                </c:pt>
                <c:pt idx="1">
                  <c:v>9027026.9000000004</c:v>
                </c:pt>
                <c:pt idx="2">
                  <c:v>9027026.9000000004</c:v>
                </c:pt>
                <c:pt idx="3">
                  <c:v>9027026.9000000004</c:v>
                </c:pt>
                <c:pt idx="4">
                  <c:v>9027026.9000000004</c:v>
                </c:pt>
              </c:numCache>
            </c:numRef>
          </c:val>
          <c:extLst>
            <c:ext xmlns:c16="http://schemas.microsoft.com/office/drawing/2014/chart" uri="{C3380CC4-5D6E-409C-BE32-E72D297353CC}">
              <c16:uniqueId val="{00000001-1C56-48FC-A40A-6580433F8817}"/>
            </c:ext>
          </c:extLst>
        </c:ser>
        <c:dLbls>
          <c:dLblPos val="ctr"/>
          <c:showLegendKey val="0"/>
          <c:showVal val="1"/>
          <c:showCatName val="0"/>
          <c:showSerName val="0"/>
          <c:showPercent val="0"/>
          <c:showBubbleSize val="0"/>
        </c:dLbls>
        <c:gapWidth val="51"/>
        <c:overlap val="100"/>
        <c:axId val="2101067920"/>
        <c:axId val="2101051600"/>
      </c:barChart>
      <c:catAx>
        <c:axId val="210106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051600"/>
        <c:crosses val="autoZero"/>
        <c:auto val="1"/>
        <c:lblAlgn val="ctr"/>
        <c:lblOffset val="100"/>
        <c:noMultiLvlLbl val="0"/>
      </c:catAx>
      <c:valAx>
        <c:axId val="210105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06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sx="1000" sy="1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[DASHBOARD_3.xlsx]Sheet1!PivotTable7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Sheet1!$B$45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CC-4C1C-A97C-6AD74FFCC7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CC-4C1C-A97C-6AD74FFCC7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CC-4C1C-A97C-6AD74FFCC7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CC-4C1C-A97C-6AD74FFCC7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CC-4C1C-A97C-6AD74FFCC710}"/>
              </c:ext>
            </c:extLst>
          </c:dPt>
          <c:cat>
            <c:strRef>
              <c:f>Sheet1!$A$46:$A$51</c:f>
              <c:strCache>
                <c:ptCount val="5"/>
                <c:pt idx="0">
                  <c:v>(blank)</c:v>
                </c:pt>
                <c:pt idx="1">
                  <c:v>East</c:v>
                </c:pt>
                <c:pt idx="2">
                  <c:v>North</c:v>
                </c:pt>
                <c:pt idx="3">
                  <c:v>South</c:v>
                </c:pt>
                <c:pt idx="4">
                  <c:v>WEST</c:v>
                </c:pt>
              </c:strCache>
            </c:strRef>
          </c:cat>
          <c:val>
            <c:numRef>
              <c:f>Sheet1!$B$46:$B$51</c:f>
              <c:numCache>
                <c:formatCode>General</c:formatCode>
                <c:ptCount val="5"/>
                <c:pt idx="0">
                  <c:v>9027026.9000000004</c:v>
                </c:pt>
                <c:pt idx="1">
                  <c:v>9027026.9000000004</c:v>
                </c:pt>
                <c:pt idx="2">
                  <c:v>9027026.9000000004</c:v>
                </c:pt>
                <c:pt idx="3">
                  <c:v>9027026.9000000004</c:v>
                </c:pt>
                <c:pt idx="4">
                  <c:v>9027026.9000000004</c:v>
                </c:pt>
              </c:numCache>
            </c:numRef>
          </c:val>
          <c:extLst>
            <c:ext xmlns:c16="http://schemas.microsoft.com/office/drawing/2014/chart" uri="{C3380CC4-5D6E-409C-BE32-E72D297353CC}">
              <c16:uniqueId val="{0000000A-0B26-4469-9A6E-C77606E28BB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[DASHBOARD_3.xlsx]Sheet1!PivotTable7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Unit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30273622808532319"/>
          <c:y val="0.24473411877803505"/>
          <c:w val="0.42510276257942886"/>
          <c:h val="0.69671515762400882"/>
        </c:manualLayout>
      </c:layout>
      <c:doughnutChart>
        <c:varyColors val="1"/>
        <c:ser>
          <c:idx val="0"/>
          <c:order val="0"/>
          <c:tx>
            <c:strRef>
              <c:f>Sheet1!$B$45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1A-409B-9F2E-0E10454888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1A-409B-9F2E-0E10454888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1A-409B-9F2E-0E10454888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1A-409B-9F2E-0E10454888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1A-409B-9F2E-0E10454888B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Sheet1!$A$46:$A$51</c:f>
              <c:strCache>
                <c:ptCount val="5"/>
                <c:pt idx="0">
                  <c:v>(blank)</c:v>
                </c:pt>
                <c:pt idx="1">
                  <c:v>East</c:v>
                </c:pt>
                <c:pt idx="2">
                  <c:v>North</c:v>
                </c:pt>
                <c:pt idx="3">
                  <c:v>South</c:v>
                </c:pt>
                <c:pt idx="4">
                  <c:v>WEST</c:v>
                </c:pt>
              </c:strCache>
            </c:strRef>
          </c:cat>
          <c:val>
            <c:numRef>
              <c:f>Sheet1!$B$46:$B$51</c:f>
              <c:numCache>
                <c:formatCode>General</c:formatCode>
                <c:ptCount val="5"/>
                <c:pt idx="0">
                  <c:v>9027026.9000000004</c:v>
                </c:pt>
                <c:pt idx="1">
                  <c:v>9027026.9000000004</c:v>
                </c:pt>
                <c:pt idx="2">
                  <c:v>9027026.9000000004</c:v>
                </c:pt>
                <c:pt idx="3">
                  <c:v>9027026.9000000004</c:v>
                </c:pt>
                <c:pt idx="4">
                  <c:v>9027026.9000000004</c:v>
                </c:pt>
              </c:numCache>
            </c:numRef>
          </c:val>
          <c:extLst>
            <c:ext xmlns:c16="http://schemas.microsoft.com/office/drawing/2014/chart" uri="{C3380CC4-5D6E-409C-BE32-E72D297353CC}">
              <c16:uniqueId val="{0000000A-8C84-42FE-80D4-B4586A5C020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[DASHBOARD_3.xlsx]Sheet1!PivotTable5</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 Trends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Sheet1!$B$15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Sheet1!$A$16:$A$28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Sheet1!$B$16:$B$28</c:f>
              <c:numCache>
                <c:formatCode>General</c:formatCode>
                <c:ptCount val="12"/>
                <c:pt idx="0">
                  <c:v>3175687.57</c:v>
                </c:pt>
                <c:pt idx="1">
                  <c:v>3055016.8</c:v>
                </c:pt>
                <c:pt idx="2">
                  <c:v>3273109.1</c:v>
                </c:pt>
                <c:pt idx="3">
                  <c:v>2548472.75</c:v>
                </c:pt>
                <c:pt idx="4">
                  <c:v>2286388.4500000002</c:v>
                </c:pt>
                <c:pt idx="5">
                  <c:v>2221640.59</c:v>
                </c:pt>
                <c:pt idx="6">
                  <c:v>2383052.7999999998</c:v>
                </c:pt>
                <c:pt idx="7">
                  <c:v>2143820.87</c:v>
                </c:pt>
                <c:pt idx="8">
                  <c:v>2336345.14</c:v>
                </c:pt>
                <c:pt idx="9">
                  <c:v>2245615.4500000002</c:v>
                </c:pt>
                <c:pt idx="10">
                  <c:v>2325066.86</c:v>
                </c:pt>
                <c:pt idx="11">
                  <c:v>2255634.2400000002</c:v>
                </c:pt>
              </c:numCache>
            </c:numRef>
          </c:val>
          <c:extLst>
            <c:ext xmlns:c16="http://schemas.microsoft.com/office/drawing/2014/chart" uri="{C3380CC4-5D6E-409C-BE32-E72D297353CC}">
              <c16:uniqueId val="{00000000-6883-427E-9148-F305C86AD9B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54055744"/>
        <c:axId val="1354056224"/>
      </c:areaChart>
      <c:catAx>
        <c:axId val="1354055744"/>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4056224"/>
        <c:crosses val="autoZero"/>
        <c:auto val="1"/>
        <c:lblAlgn val="ctr"/>
        <c:lblOffset val="100"/>
        <c:noMultiLvlLbl val="0"/>
      </c:catAx>
      <c:valAx>
        <c:axId val="1354056224"/>
        <c:scaling>
          <c:orientation val="minMax"/>
        </c:scaling>
        <c:delete val="1"/>
        <c:axPos val="l"/>
        <c:numFmt formatCode="General" sourceLinked="1"/>
        <c:majorTickMark val="out"/>
        <c:minorTickMark val="none"/>
        <c:tickLblPos val="nextTo"/>
        <c:crossAx val="1354055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[DASHBOARD_3.xlsx]Sheet1!PivotTable6</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a:t>
            </a:r>
            <a:r>
              <a:rPr lang="en-IN" b="1" baseline="0">
                <a:solidFill>
                  <a:schemeClr val="tx1"/>
                </a:solidFill>
              </a:rPr>
              <a:t> and Unit Price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28477690288715E-2"/>
          <c:y val="0.28643299795858851"/>
          <c:w val="0.67621041119860015"/>
          <c:h val="0.62968613298337706"/>
        </c:manualLayout>
      </c:layout>
      <c:barChart>
        <c:barDir val="bar"/>
        <c:grouping val="stacked"/>
        <c:varyColors val="0"/>
        <c:ser>
          <c:idx val="0"/>
          <c:order val="0"/>
          <c:tx>
            <c:strRef>
              <c:f>Sheet1!$B$31</c:f>
              <c:strCache>
                <c:ptCount val="1"/>
                <c:pt idx="0">
                  <c:v>Sum of Order_Amount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Sheet1!$A$32:$A$37</c:f>
              <c:strCache>
                <c:ptCount val="5"/>
                <c:pt idx="0">
                  <c:v>East</c:v>
                </c:pt>
                <c:pt idx="1">
                  <c:v>South</c:v>
                </c:pt>
                <c:pt idx="2">
                  <c:v>(blank)</c:v>
                </c:pt>
                <c:pt idx="3">
                  <c:v>North</c:v>
                </c:pt>
                <c:pt idx="4">
                  <c:v>WEST</c:v>
                </c:pt>
              </c:strCache>
            </c:strRef>
          </c:cat>
          <c:val>
            <c:numRef>
              <c:f>Sheet1!$B$32:$B$37</c:f>
              <c:numCache>
                <c:formatCode>General</c:formatCode>
                <c:ptCount val="5"/>
                <c:pt idx="0">
                  <c:v>3928722.14</c:v>
                </c:pt>
                <c:pt idx="1">
                  <c:v>3987731.86</c:v>
                </c:pt>
                <c:pt idx="2">
                  <c:v>4640312.08</c:v>
                </c:pt>
                <c:pt idx="3">
                  <c:v>8373432.9199999999</c:v>
                </c:pt>
                <c:pt idx="4">
                  <c:v>9319651.6199999992</c:v>
                </c:pt>
              </c:numCache>
            </c:numRef>
          </c:val>
          <c:extLst>
            <c:ext xmlns:c16="http://schemas.microsoft.com/office/drawing/2014/chart" uri="{C3380CC4-5D6E-409C-BE32-E72D297353CC}">
              <c16:uniqueId val="{00000000-0BDD-48BF-A9FB-687B0DEDA951}"/>
            </c:ext>
          </c:extLst>
        </c:ser>
        <c:ser>
          <c:idx val="1"/>
          <c:order val="1"/>
          <c:tx>
            <c:strRef>
              <c:f>Sheet1!$C$31</c:f>
              <c:strCache>
                <c:ptCount val="1"/>
                <c:pt idx="0">
                  <c:v>Sum of Unit_Price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Sheet1!$A$32:$A$37</c:f>
              <c:strCache>
                <c:ptCount val="5"/>
                <c:pt idx="0">
                  <c:v>East</c:v>
                </c:pt>
                <c:pt idx="1">
                  <c:v>South</c:v>
                </c:pt>
                <c:pt idx="2">
                  <c:v>(blank)</c:v>
                </c:pt>
                <c:pt idx="3">
                  <c:v>North</c:v>
                </c:pt>
                <c:pt idx="4">
                  <c:v>WEST</c:v>
                </c:pt>
              </c:strCache>
            </c:strRef>
          </c:cat>
          <c:val>
            <c:numRef>
              <c:f>Sheet1!$C$32:$C$37</c:f>
              <c:numCache>
                <c:formatCode>General</c:formatCode>
                <c:ptCount val="5"/>
                <c:pt idx="0">
                  <c:v>9027026.9000000004</c:v>
                </c:pt>
                <c:pt idx="1">
                  <c:v>9027026.9000000004</c:v>
                </c:pt>
                <c:pt idx="2">
                  <c:v>9027026.9000000004</c:v>
                </c:pt>
                <c:pt idx="3">
                  <c:v>9027026.9000000004</c:v>
                </c:pt>
                <c:pt idx="4">
                  <c:v>9027026.9000000004</c:v>
                </c:pt>
              </c:numCache>
            </c:numRef>
          </c:val>
          <c:extLst>
            <c:ext xmlns:c16="http://schemas.microsoft.com/office/drawing/2014/chart" uri="{C3380CC4-5D6E-409C-BE32-E72D297353CC}">
              <c16:uniqueId val="{00000001-0BDD-48BF-A9FB-687B0DEDA951}"/>
            </c:ext>
          </c:extLst>
        </c:ser>
        <c:dLbls>
          <c:dLblPos val="ctr"/>
          <c:showLegendKey val="0"/>
          <c:showVal val="1"/>
          <c:showCatName val="0"/>
          <c:showSerName val="0"/>
          <c:showPercent val="0"/>
          <c:showBubbleSize val="0"/>
        </c:dLbls>
        <c:gapWidth val="51"/>
        <c:overlap val="100"/>
        <c:axId val="2101067920"/>
        <c:axId val="2101051600"/>
      </c:barChart>
      <c:catAx>
        <c:axId val="210106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051600"/>
        <c:crosses val="autoZero"/>
        <c:auto val="1"/>
        <c:lblAlgn val="ctr"/>
        <c:lblOffset val="100"/>
        <c:noMultiLvlLbl val="0"/>
      </c:catAx>
      <c:valAx>
        <c:axId val="210105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06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sx="1000" sy="1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[DASHBOARD_3.xlsx]Sheet1!PivotTable7</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by Unit Price</a:t>
            </a:r>
          </a:p>
        </c:rich>
      </c:tx>
      <c:layout>
        <c:manualLayout>
          <c:xMode val="edge"/>
          <c:yMode val="edge"/>
          <c:x val="0.33016400709219862"/>
          <c:y val="7.24463013551877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pivotFmt>
      <c:pivotFmt>
        <c:idx val="16"/>
        <c:spPr>
          <a:solidFill>
            <a:schemeClr val="accent6"/>
          </a:solidFill>
          <a:ln>
            <a:noFill/>
          </a:ln>
          <a:effectLst>
            <a:outerShdw blurRad="254000" sx="102000" sy="102000" algn="ctr" rotWithShape="0">
              <a:prstClr val="black">
                <a:alpha val="20000"/>
              </a:prstClr>
            </a:outerShdw>
          </a:effectLst>
        </c:spPr>
      </c:pivotFmt>
      <c:pivotFmt>
        <c:idx val="17"/>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273622808532319"/>
          <c:y val="0.24473411877803505"/>
          <c:w val="0.42510276257942886"/>
          <c:h val="0.69671515762400882"/>
        </c:manualLayout>
      </c:layout>
      <c:doughnutChart>
        <c:varyColors val="1"/>
        <c:ser>
          <c:idx val="0"/>
          <c:order val="0"/>
          <c:tx>
            <c:strRef>
              <c:f>Sheet1!$B$45</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E9B-41D2-B3D4-5014A495FD36}"/>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E9B-41D2-B3D4-5014A495FD36}"/>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E9B-41D2-B3D4-5014A495FD36}"/>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E9B-41D2-B3D4-5014A495FD36}"/>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E9B-41D2-B3D4-5014A495FD3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Sheet1!$A$46:$A$51</c:f>
              <c:strCache>
                <c:ptCount val="5"/>
                <c:pt idx="0">
                  <c:v>(blank)</c:v>
                </c:pt>
                <c:pt idx="1">
                  <c:v>East</c:v>
                </c:pt>
                <c:pt idx="2">
                  <c:v>North</c:v>
                </c:pt>
                <c:pt idx="3">
                  <c:v>South</c:v>
                </c:pt>
                <c:pt idx="4">
                  <c:v>WEST</c:v>
                </c:pt>
              </c:strCache>
            </c:strRef>
          </c:cat>
          <c:val>
            <c:numRef>
              <c:f>Sheet1!$B$46:$B$51</c:f>
              <c:numCache>
                <c:formatCode>General</c:formatCode>
                <c:ptCount val="5"/>
                <c:pt idx="0">
                  <c:v>9027026.9000000004</c:v>
                </c:pt>
                <c:pt idx="1">
                  <c:v>9027026.9000000004</c:v>
                </c:pt>
                <c:pt idx="2">
                  <c:v>9027026.9000000004</c:v>
                </c:pt>
                <c:pt idx="3">
                  <c:v>9027026.9000000004</c:v>
                </c:pt>
                <c:pt idx="4">
                  <c:v>9027026.9000000004</c:v>
                </c:pt>
              </c:numCache>
            </c:numRef>
          </c:val>
          <c:extLst>
            <c:ext xmlns:c16="http://schemas.microsoft.com/office/drawing/2014/chart" uri="{C3380CC4-5D6E-409C-BE32-E72D297353CC}">
              <c16:uniqueId val="{0000000A-9917-4513-B6A7-6216D296E3D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274320</xdr:colOff>
      <xdr:row>14</xdr:row>
      <xdr:rowOff>19050</xdr:rowOff>
    </xdr:from>
    <xdr:to>
      <xdr:col>8</xdr:col>
      <xdr:colOff>525780</xdr:colOff>
      <xdr:row>29</xdr:row>
      <xdr:rowOff>19050</xdr:rowOff>
    </xdr:to>
    <xdr:graphicFrame macro="">
      <xdr:nvGraphicFramePr>
        <xdr:cNvPr id="2" name="Chart 1">
          <a:extLst>
            <a:ext uri="{FF2B5EF4-FFF2-40B4-BE49-F238E27FC236}">
              <a16:creationId xmlns:a16="http://schemas.microsoft.com/office/drawing/2014/main" id="{A73E466F-6F90-7ABF-03CC-987F5F9AE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121920</xdr:colOff>
      <xdr:row>29</xdr:row>
      <xdr:rowOff>125730</xdr:rowOff>
    </xdr:from>
    <xdr:to>
      <xdr:col>10</xdr:col>
      <xdr:colOff>236220</xdr:colOff>
      <xdr:row>44</xdr:row>
      <xdr:rowOff>125730</xdr:rowOff>
    </xdr:to>
    <xdr:graphicFrame macro="">
      <xdr:nvGraphicFramePr>
        <xdr:cNvPr id="3" name="Chart 2">
          <a:extLst>
            <a:ext uri="{FF2B5EF4-FFF2-40B4-BE49-F238E27FC236}">
              <a16:creationId xmlns:a16="http://schemas.microsoft.com/office/drawing/2014/main" id="{F5DAF9E3-6A5D-5909-ED16-2061DEF6A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251460</xdr:colOff>
      <xdr:row>47</xdr:row>
      <xdr:rowOff>3810</xdr:rowOff>
    </xdr:from>
    <xdr:to>
      <xdr:col>9</xdr:col>
      <xdr:colOff>434340</xdr:colOff>
      <xdr:row>62</xdr:row>
      <xdr:rowOff>3810</xdr:rowOff>
    </xdr:to>
    <xdr:graphicFrame macro="">
      <xdr:nvGraphicFramePr>
        <xdr:cNvPr id="5" name="Chart 4">
          <a:extLst>
            <a:ext uri="{FF2B5EF4-FFF2-40B4-BE49-F238E27FC236}">
              <a16:creationId xmlns:a16="http://schemas.microsoft.com/office/drawing/2014/main" id="{0F17144A-354E-47DE-0533-D0D759576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251460</xdr:colOff>
      <xdr:row>47</xdr:row>
      <xdr:rowOff>3810</xdr:rowOff>
    </xdr:from>
    <xdr:to>
      <xdr:col>9</xdr:col>
      <xdr:colOff>434340</xdr:colOff>
      <xdr:row>62</xdr:row>
      <xdr:rowOff>3810</xdr:rowOff>
    </xdr:to>
    <xdr:graphicFrame macro="">
      <xdr:nvGraphicFramePr>
        <xdr:cNvPr id="6" name="Chart 5">
          <a:extLst>
            <a:ext uri="{FF2B5EF4-FFF2-40B4-BE49-F238E27FC236}">
              <a16:creationId xmlns:a16="http://schemas.microsoft.com/office/drawing/2014/main" id="{4E486DA4-AEFB-5EE3-0D14-C2F0CF09B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112441</xdr:colOff>
      <xdr:row>48</xdr:row>
      <xdr:rowOff>184924</xdr:rowOff>
    </xdr:from>
    <xdr:to>
      <xdr:col>8</xdr:col>
      <xdr:colOff>500875</xdr:colOff>
      <xdr:row>62</xdr:row>
      <xdr:rowOff>164248</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05820EE-37C9-8398-F62F-8F50996C6F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96514" y="9105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44233</xdr:colOff>
      <xdr:row>53</xdr:row>
      <xdr:rowOff>172472</xdr:rowOff>
    </xdr:from>
    <xdr:to>
      <xdr:col>12</xdr:col>
      <xdr:colOff>367619</xdr:colOff>
      <xdr:row>67</xdr:row>
      <xdr:rowOff>151796</xdr:rowOff>
    </xdr:to>
    <mc:AlternateContent xmlns:mc="http://schemas.openxmlformats.org/markup-compatibility/2006" xmlns:a14="http://schemas.microsoft.com/office/drawing/2010/main">
      <mc:Choice Requires="a14">
        <xdr:graphicFrame macro="">
          <xdr:nvGraphicFramePr>
            <xdr:cNvPr id="7" name="Sales_Rep">
              <a:extLst>
                <a:ext uri="{FF2B5EF4-FFF2-40B4-BE49-F238E27FC236}">
                  <a16:creationId xmlns:a16="http://schemas.microsoft.com/office/drawing/2014/main" id="{6C4BCD09-2DDE-7EC3-D2C4-02A09C66E28D}"/>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9374087" y="1002271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748247</xdr:colOff>
      <xdr:row>74</xdr:row>
      <xdr:rowOff>69509</xdr:rowOff>
    </xdr:from>
    <xdr:to>
      <xdr:col>11</xdr:col>
      <xdr:colOff>387319</xdr:colOff>
      <xdr:row>81</xdr:row>
      <xdr:rowOff>140134</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F550EFB2-71EA-8B25-BDBD-1A7C985AF4B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160198" y="138226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45076</xdr:colOff>
      <xdr:row>1</xdr:row>
      <xdr:rowOff>94874</xdr:rowOff>
    </xdr:from>
    <xdr:to>
      <xdr:col>3</xdr:col>
      <xdr:colOff>243195</xdr:colOff>
      <xdr:row>4</xdr:row>
      <xdr:rowOff>163454</xdr:rowOff>
    </xdr:to>
    <xdr:sp macro="" textlink="">
      <xdr:nvSpPr>
        <xdr:cNvPr id="2" name="Rectangle: Diagonal Corners Rounded 1">
          <a:extLst>
            <a:ext uri="{FF2B5EF4-FFF2-40B4-BE49-F238E27FC236}">
              <a16:creationId xmlns:a16="http://schemas.microsoft.com/office/drawing/2014/main" id="{AD512007-C9DD-577A-555B-BA34C806D283}"/>
            </a:ext>
          </a:extLst>
        </xdr:cNvPr>
        <xdr:cNvSpPr/>
      </xdr:nvSpPr>
      <xdr:spPr>
        <a:xfrm>
          <a:off x="45076" y="556367"/>
          <a:ext cx="1872373" cy="615932"/>
        </a:xfrm>
        <a:prstGeom prst="round2Diag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372735</xdr:colOff>
      <xdr:row>1</xdr:row>
      <xdr:rowOff>102494</xdr:rowOff>
    </xdr:from>
    <xdr:to>
      <xdr:col>6</xdr:col>
      <xdr:colOff>573002</xdr:colOff>
      <xdr:row>4</xdr:row>
      <xdr:rowOff>171074</xdr:rowOff>
    </xdr:to>
    <xdr:sp macro="" textlink="">
      <xdr:nvSpPr>
        <xdr:cNvPr id="3" name="Rectangle: Diagonal Corners Rounded 2">
          <a:extLst>
            <a:ext uri="{FF2B5EF4-FFF2-40B4-BE49-F238E27FC236}">
              <a16:creationId xmlns:a16="http://schemas.microsoft.com/office/drawing/2014/main" id="{149CF6F0-3B8F-4844-B104-33907076A8C6}"/>
            </a:ext>
          </a:extLst>
        </xdr:cNvPr>
        <xdr:cNvSpPr/>
      </xdr:nvSpPr>
      <xdr:spPr>
        <a:xfrm>
          <a:off x="2046989" y="563987"/>
          <a:ext cx="2035506" cy="615932"/>
        </a:xfrm>
        <a:prstGeom prst="round2Diag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106036</xdr:colOff>
      <xdr:row>1</xdr:row>
      <xdr:rowOff>64394</xdr:rowOff>
    </xdr:from>
    <xdr:to>
      <xdr:col>10</xdr:col>
      <xdr:colOff>304156</xdr:colOff>
      <xdr:row>4</xdr:row>
      <xdr:rowOff>132974</xdr:rowOff>
    </xdr:to>
    <xdr:sp macro="" textlink="">
      <xdr:nvSpPr>
        <xdr:cNvPr id="4" name="Rectangle: Diagonal Corners Rounded 3">
          <a:extLst>
            <a:ext uri="{FF2B5EF4-FFF2-40B4-BE49-F238E27FC236}">
              <a16:creationId xmlns:a16="http://schemas.microsoft.com/office/drawing/2014/main" id="{4269D0DB-7B4B-4BB1-ACD2-2434C6FC0574}"/>
            </a:ext>
          </a:extLst>
        </xdr:cNvPr>
        <xdr:cNvSpPr/>
      </xdr:nvSpPr>
      <xdr:spPr>
        <a:xfrm>
          <a:off x="4227275" y="525887"/>
          <a:ext cx="2033360" cy="615932"/>
        </a:xfrm>
        <a:prstGeom prst="round2Diag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471796</xdr:colOff>
      <xdr:row>1</xdr:row>
      <xdr:rowOff>49584</xdr:rowOff>
    </xdr:from>
    <xdr:to>
      <xdr:col>14</xdr:col>
      <xdr:colOff>60316</xdr:colOff>
      <xdr:row>4</xdr:row>
      <xdr:rowOff>117734</xdr:rowOff>
    </xdr:to>
    <xdr:sp macro="" textlink="">
      <xdr:nvSpPr>
        <xdr:cNvPr id="5" name="Rectangle: Diagonal Corners Rounded 4">
          <a:extLst>
            <a:ext uri="{FF2B5EF4-FFF2-40B4-BE49-F238E27FC236}">
              <a16:creationId xmlns:a16="http://schemas.microsoft.com/office/drawing/2014/main" id="{9BF10A0B-CE14-4FF7-828F-A17A7E67B3EB}"/>
            </a:ext>
          </a:extLst>
        </xdr:cNvPr>
        <xdr:cNvSpPr/>
      </xdr:nvSpPr>
      <xdr:spPr>
        <a:xfrm>
          <a:off x="6428275" y="511077"/>
          <a:ext cx="2035506" cy="615502"/>
        </a:xfrm>
        <a:prstGeom prst="round2Diag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205096</xdr:colOff>
      <xdr:row>1</xdr:row>
      <xdr:rowOff>102494</xdr:rowOff>
    </xdr:from>
    <xdr:to>
      <xdr:col>7</xdr:col>
      <xdr:colOff>715636</xdr:colOff>
      <xdr:row>4</xdr:row>
      <xdr:rowOff>64394</xdr:rowOff>
    </xdr:to>
    <xdr:pic>
      <xdr:nvPicPr>
        <xdr:cNvPr id="7" name="Graphic 6" descr="Coins with solid fill">
          <a:extLst>
            <a:ext uri="{FF2B5EF4-FFF2-40B4-BE49-F238E27FC236}">
              <a16:creationId xmlns:a16="http://schemas.microsoft.com/office/drawing/2014/main" id="{F30DF189-7188-CFD3-8E9C-4150892A98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6335" y="563987"/>
          <a:ext cx="512687" cy="509252"/>
        </a:xfrm>
        <a:prstGeom prst="rect">
          <a:avLst/>
        </a:prstGeom>
      </xdr:spPr>
    </xdr:pic>
    <xdr:clientData/>
  </xdr:twoCellAnchor>
  <xdr:twoCellAnchor editAs="oneCell">
    <xdr:from>
      <xdr:col>0</xdr:col>
      <xdr:colOff>144136</xdr:colOff>
      <xdr:row>1</xdr:row>
      <xdr:rowOff>148214</xdr:rowOff>
    </xdr:from>
    <xdr:to>
      <xdr:col>1</xdr:col>
      <xdr:colOff>22216</xdr:colOff>
      <xdr:row>4</xdr:row>
      <xdr:rowOff>87254</xdr:rowOff>
    </xdr:to>
    <xdr:pic>
      <xdr:nvPicPr>
        <xdr:cNvPr id="9" name="Graphic 8" descr="Shopping cart with solid fill">
          <a:extLst>
            <a:ext uri="{FF2B5EF4-FFF2-40B4-BE49-F238E27FC236}">
              <a16:creationId xmlns:a16="http://schemas.microsoft.com/office/drawing/2014/main" id="{8F79CFFF-AED6-477E-7521-4F46C4F7C1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136" y="609707"/>
          <a:ext cx="489826" cy="486392"/>
        </a:xfrm>
        <a:prstGeom prst="rect">
          <a:avLst/>
        </a:prstGeom>
      </xdr:spPr>
    </xdr:pic>
    <xdr:clientData/>
  </xdr:twoCellAnchor>
  <xdr:twoCellAnchor>
    <xdr:from>
      <xdr:col>12</xdr:col>
      <xdr:colOff>494656</xdr:colOff>
      <xdr:row>1</xdr:row>
      <xdr:rowOff>34344</xdr:rowOff>
    </xdr:from>
    <xdr:to>
      <xdr:col>14</xdr:col>
      <xdr:colOff>441316</xdr:colOff>
      <xdr:row>5</xdr:row>
      <xdr:rowOff>148214</xdr:rowOff>
    </xdr:to>
    <xdr:sp macro="" textlink="">
      <xdr:nvSpPr>
        <xdr:cNvPr id="10" name="TextBox 9">
          <a:extLst>
            <a:ext uri="{FF2B5EF4-FFF2-40B4-BE49-F238E27FC236}">
              <a16:creationId xmlns:a16="http://schemas.microsoft.com/office/drawing/2014/main" id="{6486AFB8-DC87-9BB7-3B55-F324A56ED7BF}"/>
            </a:ext>
          </a:extLst>
        </xdr:cNvPr>
        <xdr:cNvSpPr txBox="1"/>
      </xdr:nvSpPr>
      <xdr:spPr>
        <a:xfrm>
          <a:off x="7674628" y="495837"/>
          <a:ext cx="1170153" cy="843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latin typeface="Algerian" panose="04020705040A02060702" pitchFamily="82" charset="0"/>
            </a:rPr>
            <a:t>  %</a:t>
          </a:r>
        </a:p>
      </xdr:txBody>
    </xdr:sp>
    <xdr:clientData/>
  </xdr:twoCellAnchor>
  <xdr:twoCellAnchor editAs="oneCell">
    <xdr:from>
      <xdr:col>3</xdr:col>
      <xdr:colOff>512041</xdr:colOff>
      <xdr:row>1</xdr:row>
      <xdr:rowOff>155834</xdr:rowOff>
    </xdr:from>
    <xdr:to>
      <xdr:col>4</xdr:col>
      <xdr:colOff>578474</xdr:colOff>
      <xdr:row>4</xdr:row>
      <xdr:rowOff>163454</xdr:rowOff>
    </xdr:to>
    <xdr:pic>
      <xdr:nvPicPr>
        <xdr:cNvPr id="12" name="Graphic 11" descr="Back with solid fill">
          <a:extLst>
            <a:ext uri="{FF2B5EF4-FFF2-40B4-BE49-F238E27FC236}">
              <a16:creationId xmlns:a16="http://schemas.microsoft.com/office/drawing/2014/main" id="{7AC28C9C-8904-8FB5-9E1F-6AFC59C0405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flipV="1">
          <a:off x="2186295" y="617327"/>
          <a:ext cx="579119" cy="554972"/>
        </a:xfrm>
        <a:prstGeom prst="rect">
          <a:avLst/>
        </a:prstGeom>
      </xdr:spPr>
    </xdr:pic>
    <xdr:clientData/>
  </xdr:twoCellAnchor>
  <xdr:twoCellAnchor>
    <xdr:from>
      <xdr:col>1</xdr:col>
      <xdr:colOff>280331</xdr:colOff>
      <xdr:row>1</xdr:row>
      <xdr:rowOff>125354</xdr:rowOff>
    </xdr:from>
    <xdr:to>
      <xdr:col>2</xdr:col>
      <xdr:colOff>419636</xdr:colOff>
      <xdr:row>3</xdr:row>
      <xdr:rowOff>125355</xdr:rowOff>
    </xdr:to>
    <xdr:sp macro="" textlink="$T$8">
      <xdr:nvSpPr>
        <xdr:cNvPr id="13" name="TextBox 12">
          <a:extLst>
            <a:ext uri="{FF2B5EF4-FFF2-40B4-BE49-F238E27FC236}">
              <a16:creationId xmlns:a16="http://schemas.microsoft.com/office/drawing/2014/main" id="{1F109F03-7D38-C45E-9E90-06FD244EED56}"/>
            </a:ext>
          </a:extLst>
        </xdr:cNvPr>
        <xdr:cNvSpPr txBox="1"/>
      </xdr:nvSpPr>
      <xdr:spPr>
        <a:xfrm>
          <a:off x="892077" y="586847"/>
          <a:ext cx="751052"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B1076C-F988-498F-88FA-230DAE7B15DA}" type="TxLink">
            <a:rPr lang="en-US" sz="2000" b="1" i="0" u="none" strike="noStrike">
              <a:solidFill>
                <a:srgbClr val="000000"/>
              </a:solidFill>
              <a:latin typeface="Aptos Narrow"/>
            </a:rPr>
            <a:pPr/>
            <a:t>1200</a:t>
          </a:fld>
          <a:endParaRPr lang="en-IN" sz="1100" b="1"/>
        </a:p>
      </xdr:txBody>
    </xdr:sp>
    <xdr:clientData/>
  </xdr:twoCellAnchor>
  <xdr:twoCellAnchor>
    <xdr:from>
      <xdr:col>1</xdr:col>
      <xdr:colOff>272711</xdr:colOff>
      <xdr:row>3</xdr:row>
      <xdr:rowOff>19104</xdr:rowOff>
    </xdr:from>
    <xdr:to>
      <xdr:col>3</xdr:col>
      <xdr:colOff>42929</xdr:colOff>
      <xdr:row>5</xdr:row>
      <xdr:rowOff>19103</xdr:rowOff>
    </xdr:to>
    <xdr:sp macro="" textlink="$T$8">
      <xdr:nvSpPr>
        <xdr:cNvPr id="14" name="TextBox 13">
          <a:extLst>
            <a:ext uri="{FF2B5EF4-FFF2-40B4-BE49-F238E27FC236}">
              <a16:creationId xmlns:a16="http://schemas.microsoft.com/office/drawing/2014/main" id="{3676C209-A8B0-4F60-81FF-730E973ECDCE}"/>
            </a:ext>
          </a:extLst>
        </xdr:cNvPr>
        <xdr:cNvSpPr txBox="1"/>
      </xdr:nvSpPr>
      <xdr:spPr>
        <a:xfrm>
          <a:off x="884457" y="845498"/>
          <a:ext cx="832726"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Orders</a:t>
          </a:r>
        </a:p>
      </xdr:txBody>
    </xdr:sp>
    <xdr:clientData/>
  </xdr:twoCellAnchor>
  <xdr:twoCellAnchor>
    <xdr:from>
      <xdr:col>5</xdr:col>
      <xdr:colOff>168821</xdr:colOff>
      <xdr:row>1</xdr:row>
      <xdr:rowOff>91762</xdr:rowOff>
    </xdr:from>
    <xdr:to>
      <xdr:col>6</xdr:col>
      <xdr:colOff>308126</xdr:colOff>
      <xdr:row>3</xdr:row>
      <xdr:rowOff>91763</xdr:rowOff>
    </xdr:to>
    <xdr:sp macro="" textlink="$T$11">
      <xdr:nvSpPr>
        <xdr:cNvPr id="6" name="TextBox 5">
          <a:extLst>
            <a:ext uri="{FF2B5EF4-FFF2-40B4-BE49-F238E27FC236}">
              <a16:creationId xmlns:a16="http://schemas.microsoft.com/office/drawing/2014/main" id="{23AE5E18-D930-42D8-B44E-3EF7AA4DAC41}"/>
            </a:ext>
          </a:extLst>
        </xdr:cNvPr>
        <xdr:cNvSpPr txBox="1"/>
      </xdr:nvSpPr>
      <xdr:spPr>
        <a:xfrm>
          <a:off x="3066567" y="553255"/>
          <a:ext cx="751052"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C9EE7B-F464-405D-A786-E4161DC91785}" type="TxLink">
            <a:rPr lang="en-US" sz="1800" b="1" i="0" u="none" strike="noStrike">
              <a:solidFill>
                <a:srgbClr val="000000"/>
              </a:solidFill>
              <a:latin typeface="Aptos Narrow"/>
            </a:rPr>
            <a:pPr/>
            <a:t>2595</a:t>
          </a:fld>
          <a:endParaRPr lang="en-IN" sz="1800" b="1"/>
        </a:p>
      </xdr:txBody>
    </xdr:sp>
    <xdr:clientData/>
  </xdr:twoCellAnchor>
  <xdr:twoCellAnchor>
    <xdr:from>
      <xdr:col>5</xdr:col>
      <xdr:colOff>125891</xdr:colOff>
      <xdr:row>2</xdr:row>
      <xdr:rowOff>134690</xdr:rowOff>
    </xdr:from>
    <xdr:to>
      <xdr:col>7</xdr:col>
      <xdr:colOff>32197</xdr:colOff>
      <xdr:row>4</xdr:row>
      <xdr:rowOff>134690</xdr:rowOff>
    </xdr:to>
    <xdr:sp macro="" textlink="$T$8">
      <xdr:nvSpPr>
        <xdr:cNvPr id="8" name="TextBox 7">
          <a:extLst>
            <a:ext uri="{FF2B5EF4-FFF2-40B4-BE49-F238E27FC236}">
              <a16:creationId xmlns:a16="http://schemas.microsoft.com/office/drawing/2014/main" id="{1100BF56-7091-4A65-9A80-D414C31F587D}"/>
            </a:ext>
          </a:extLst>
        </xdr:cNvPr>
        <xdr:cNvSpPr txBox="1"/>
      </xdr:nvSpPr>
      <xdr:spPr>
        <a:xfrm>
          <a:off x="3023637" y="778634"/>
          <a:ext cx="1129799"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Quantity</a:t>
          </a:r>
        </a:p>
      </xdr:txBody>
    </xdr:sp>
    <xdr:clientData/>
  </xdr:twoCellAnchor>
  <xdr:twoCellAnchor>
    <xdr:from>
      <xdr:col>11</xdr:col>
      <xdr:colOff>471796</xdr:colOff>
      <xdr:row>1</xdr:row>
      <xdr:rowOff>71048</xdr:rowOff>
    </xdr:from>
    <xdr:to>
      <xdr:col>12</xdr:col>
      <xdr:colOff>611101</xdr:colOff>
      <xdr:row>3</xdr:row>
      <xdr:rowOff>71049</xdr:rowOff>
    </xdr:to>
    <xdr:sp macro="" textlink="$T$9">
      <xdr:nvSpPr>
        <xdr:cNvPr id="11" name="TextBox 10">
          <a:extLst>
            <a:ext uri="{FF2B5EF4-FFF2-40B4-BE49-F238E27FC236}">
              <a16:creationId xmlns:a16="http://schemas.microsoft.com/office/drawing/2014/main" id="{63F32CDF-2FB4-494B-80A1-CD43691701C3}"/>
            </a:ext>
          </a:extLst>
        </xdr:cNvPr>
        <xdr:cNvSpPr txBox="1"/>
      </xdr:nvSpPr>
      <xdr:spPr>
        <a:xfrm>
          <a:off x="7040021" y="532541"/>
          <a:ext cx="751052"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DCE516-73E1-4E8E-A213-756DBB610D0E}" type="TxLink">
            <a:rPr lang="en-US" sz="2000" b="1" i="0" u="none" strike="noStrike">
              <a:solidFill>
                <a:srgbClr val="000000"/>
              </a:solidFill>
              <a:latin typeface="Aptos Narrow"/>
            </a:rPr>
            <a:pPr/>
            <a:t>1028</a:t>
          </a:fld>
          <a:endParaRPr lang="en-IN" sz="2000" b="1"/>
        </a:p>
      </xdr:txBody>
    </xdr:sp>
    <xdr:clientData/>
  </xdr:twoCellAnchor>
  <xdr:twoCellAnchor>
    <xdr:from>
      <xdr:col>11</xdr:col>
      <xdr:colOff>385936</xdr:colOff>
      <xdr:row>2</xdr:row>
      <xdr:rowOff>167640</xdr:rowOff>
    </xdr:from>
    <xdr:to>
      <xdr:col>13</xdr:col>
      <xdr:colOff>354168</xdr:colOff>
      <xdr:row>4</xdr:row>
      <xdr:rowOff>167640</xdr:rowOff>
    </xdr:to>
    <xdr:sp macro="" textlink="$T$8">
      <xdr:nvSpPr>
        <xdr:cNvPr id="16" name="TextBox 15">
          <a:extLst>
            <a:ext uri="{FF2B5EF4-FFF2-40B4-BE49-F238E27FC236}">
              <a16:creationId xmlns:a16="http://schemas.microsoft.com/office/drawing/2014/main" id="{9AFA0950-E29A-4047-B9B8-D49096A38250}"/>
            </a:ext>
          </a:extLst>
        </xdr:cNvPr>
        <xdr:cNvSpPr txBox="1"/>
      </xdr:nvSpPr>
      <xdr:spPr>
        <a:xfrm>
          <a:off x="6954161" y="811584"/>
          <a:ext cx="1191725"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Discount</a:t>
          </a:r>
        </a:p>
      </xdr:txBody>
    </xdr:sp>
    <xdr:clientData/>
  </xdr:twoCellAnchor>
  <xdr:twoCellAnchor>
    <xdr:from>
      <xdr:col>8</xdr:col>
      <xdr:colOff>148965</xdr:colOff>
      <xdr:row>1</xdr:row>
      <xdr:rowOff>107324</xdr:rowOff>
    </xdr:from>
    <xdr:to>
      <xdr:col>10</xdr:col>
      <xdr:colOff>268309</xdr:colOff>
      <xdr:row>3</xdr:row>
      <xdr:rowOff>107325</xdr:rowOff>
    </xdr:to>
    <xdr:sp macro="" textlink="$T$10">
      <xdr:nvSpPr>
        <xdr:cNvPr id="17" name="TextBox 16">
          <a:extLst>
            <a:ext uri="{FF2B5EF4-FFF2-40B4-BE49-F238E27FC236}">
              <a16:creationId xmlns:a16="http://schemas.microsoft.com/office/drawing/2014/main" id="{FFEE62C6-6FC4-4C83-B7D2-CA261FCF94C9}"/>
            </a:ext>
          </a:extLst>
        </xdr:cNvPr>
        <xdr:cNvSpPr txBox="1"/>
      </xdr:nvSpPr>
      <xdr:spPr>
        <a:xfrm>
          <a:off x="4881951" y="568817"/>
          <a:ext cx="1342837" cy="364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BC77E5-C78A-46CE-883F-97DFCB348897}" type="TxLink">
            <a:rPr lang="en-US" sz="1600" b="1" i="0" u="none" strike="noStrike">
              <a:solidFill>
                <a:srgbClr val="000000"/>
              </a:solidFill>
              <a:latin typeface="Aptos Narrow"/>
            </a:rPr>
            <a:pPr/>
            <a:t>30249850.62</a:t>
          </a:fld>
          <a:endParaRPr lang="en-IN" sz="3200" b="1"/>
        </a:p>
      </xdr:txBody>
    </xdr:sp>
    <xdr:clientData/>
  </xdr:twoCellAnchor>
  <xdr:twoCellAnchor>
    <xdr:from>
      <xdr:col>9</xdr:col>
      <xdr:colOff>148966</xdr:colOff>
      <xdr:row>2</xdr:row>
      <xdr:rowOff>128788</xdr:rowOff>
    </xdr:from>
    <xdr:to>
      <xdr:col>10</xdr:col>
      <xdr:colOff>288271</xdr:colOff>
      <xdr:row>4</xdr:row>
      <xdr:rowOff>128788</xdr:rowOff>
    </xdr:to>
    <xdr:sp macro="" textlink="$T$8">
      <xdr:nvSpPr>
        <xdr:cNvPr id="18" name="TextBox 17">
          <a:extLst>
            <a:ext uri="{FF2B5EF4-FFF2-40B4-BE49-F238E27FC236}">
              <a16:creationId xmlns:a16="http://schemas.microsoft.com/office/drawing/2014/main" id="{5958F6C9-6646-4A3E-B65B-5CA97FE2EDC3}"/>
            </a:ext>
          </a:extLst>
        </xdr:cNvPr>
        <xdr:cNvSpPr txBox="1"/>
      </xdr:nvSpPr>
      <xdr:spPr>
        <a:xfrm>
          <a:off x="5493698" y="772732"/>
          <a:ext cx="751052"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Sales</a:t>
          </a:r>
        </a:p>
      </xdr:txBody>
    </xdr:sp>
    <xdr:clientData/>
  </xdr:twoCellAnchor>
  <xdr:twoCellAnchor>
    <xdr:from>
      <xdr:col>3</xdr:col>
      <xdr:colOff>299434</xdr:colOff>
      <xdr:row>13</xdr:row>
      <xdr:rowOff>133619</xdr:rowOff>
    </xdr:from>
    <xdr:to>
      <xdr:col>14</xdr:col>
      <xdr:colOff>22860</xdr:colOff>
      <xdr:row>31</xdr:row>
      <xdr:rowOff>15240</xdr:rowOff>
    </xdr:to>
    <xdr:graphicFrame macro="">
      <xdr:nvGraphicFramePr>
        <xdr:cNvPr id="19" name="Chart 18">
          <a:extLst>
            <a:ext uri="{FF2B5EF4-FFF2-40B4-BE49-F238E27FC236}">
              <a16:creationId xmlns:a16="http://schemas.microsoft.com/office/drawing/2014/main" id="{6D42C843-BD58-4689-8E5B-8F5E4DADD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83820</xdr:colOff>
      <xdr:row>0</xdr:row>
      <xdr:rowOff>60960</xdr:rowOff>
    </xdr:from>
    <xdr:to>
      <xdr:col>22</xdr:col>
      <xdr:colOff>266700</xdr:colOff>
      <xdr:row>13</xdr:row>
      <xdr:rowOff>38100</xdr:rowOff>
    </xdr:to>
    <xdr:graphicFrame macro="">
      <xdr:nvGraphicFramePr>
        <xdr:cNvPr id="20" name="Chart 19">
          <a:extLst>
            <a:ext uri="{FF2B5EF4-FFF2-40B4-BE49-F238E27FC236}">
              <a16:creationId xmlns:a16="http://schemas.microsoft.com/office/drawing/2014/main" id="{DB3773D8-02C4-455F-A440-35F4CBF2B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76200</xdr:colOff>
      <xdr:row>13</xdr:row>
      <xdr:rowOff>137160</xdr:rowOff>
    </xdr:from>
    <xdr:to>
      <xdr:col>22</xdr:col>
      <xdr:colOff>289560</xdr:colOff>
      <xdr:row>31</xdr:row>
      <xdr:rowOff>15240</xdr:rowOff>
    </xdr:to>
    <xdr:graphicFrame macro="">
      <xdr:nvGraphicFramePr>
        <xdr:cNvPr id="21" name="Chart 20">
          <a:extLst>
            <a:ext uri="{FF2B5EF4-FFF2-40B4-BE49-F238E27FC236}">
              <a16:creationId xmlns:a16="http://schemas.microsoft.com/office/drawing/2014/main" id="{E0DA078F-9689-4CED-A4F2-D6114F368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45720</xdr:colOff>
      <xdr:row>5</xdr:row>
      <xdr:rowOff>60961</xdr:rowOff>
    </xdr:from>
    <xdr:to>
      <xdr:col>3</xdr:col>
      <xdr:colOff>205740</xdr:colOff>
      <xdr:row>15</xdr:row>
      <xdr:rowOff>45720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40B339C0-160B-4A5A-9524-D155FD21410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720" y="1257301"/>
              <a:ext cx="1828800" cy="1813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15</xdr:row>
      <xdr:rowOff>137161</xdr:rowOff>
    </xdr:from>
    <xdr:to>
      <xdr:col>3</xdr:col>
      <xdr:colOff>205740</xdr:colOff>
      <xdr:row>31</xdr:row>
      <xdr:rowOff>15240</xdr:rowOff>
    </xdr:to>
    <mc:AlternateContent xmlns:mc="http://schemas.openxmlformats.org/markup-compatibility/2006">
      <mc:Choice xmlns:a14="http://schemas.microsoft.com/office/drawing/2010/main" Requires="a14">
        <xdr:graphicFrame macro="">
          <xdr:nvGraphicFramePr>
            <xdr:cNvPr id="23" name="Sales_Rep 1">
              <a:extLst>
                <a:ext uri="{FF2B5EF4-FFF2-40B4-BE49-F238E27FC236}">
                  <a16:creationId xmlns:a16="http://schemas.microsoft.com/office/drawing/2014/main" id="{C464B713-D797-4C3E-8BCE-C3A0F49BCC3C}"/>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dr:sp macro="" textlink="">
          <xdr:nvSpPr>
            <xdr:cNvPr id="0" name=""/>
            <xdr:cNvSpPr>
              <a:spLocks noTextEdit="1"/>
            </xdr:cNvSpPr>
          </xdr:nvSpPr>
          <xdr:spPr>
            <a:xfrm>
              <a:off x="22860" y="3162301"/>
              <a:ext cx="1851660" cy="2804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91440</xdr:colOff>
      <xdr:row>5</xdr:row>
      <xdr:rowOff>144780</xdr:rowOff>
    </xdr:from>
    <xdr:to>
      <xdr:col>14</xdr:col>
      <xdr:colOff>15240</xdr:colOff>
      <xdr:row>13</xdr:row>
      <xdr:rowOff>53340</xdr:rowOff>
    </xdr:to>
    <mc:AlternateContent xmlns:mc="http://schemas.openxmlformats.org/markup-compatibility/2006" xmlns:tsle="http://schemas.microsoft.com/office/drawing/2012/timeslicer">
      <mc:Choice Requires="tsle">
        <xdr:graphicFrame macro="">
          <xdr:nvGraphicFramePr>
            <xdr:cNvPr id="15" name="Order_Date 1">
              <a:extLst>
                <a:ext uri="{FF2B5EF4-FFF2-40B4-BE49-F238E27FC236}">
                  <a16:creationId xmlns:a16="http://schemas.microsoft.com/office/drawing/2014/main" id="{CFE64BC0-4BA8-4DF8-AFCC-6D48779762FC}"/>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5204460" y="1341120"/>
              <a:ext cx="35814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68171297" backgroundQuery="1" createdVersion="8" refreshedVersion="8" minRefreshableVersion="3" recordCount="0" supportSubquery="1" supportAdvancedDrill="1" xr:uid="{91D3072B-9FEB-48A9-A82E-EC94800E2C88}">
  <cacheSource type="external" connectionId="5"/>
  <cacheFields count="3">
    <cacheField name="[Sales_Orders].[Order_Date (Month)].[Order_Date (Month)]" caption="Order_Date (Month)" numFmtId="0" hierarchy="23" level="1">
      <sharedItems count="12">
        <s v="Jan"/>
        <s v="Feb"/>
        <s v="Mar"/>
        <s v="Apr"/>
        <s v="May"/>
        <s v="Jun"/>
        <s v="Jul"/>
        <s v="Aug"/>
        <s v="Sep"/>
        <s v="Oct"/>
        <s v="Nov"/>
        <s v="Dec"/>
      </sharedItems>
    </cacheField>
    <cacheField name="[Measures].[Sum of Order_Amount]" caption="Sum of Order_Amount" numFmtId="0" hierarchy="32" level="32767"/>
    <cacheField name="[Sales_Orders].[Sales_Rep].[Sales_Rep]" caption="Sales_Rep" numFmtId="0" hierarchy="19"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0"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0" memberValueDatatype="130" unbalanced="0"/>
    <cacheHierarchy uniqueName="[Sales_Orders].[Sales_Rep]" caption="Sales_Rep" attribute="1" defaultMemberUniqueName="[Sales_Orders].[Sales_Rep].[All]" allUniqueName="[Sales_Orders].[Sales_Rep].[All]" dimensionUniqueName="[Sales_Orders]" displayFolder="" count="2" memberValueDatatype="130" unbalanced="0">
      <fieldsUsage count="2">
        <fieldUsage x="-1"/>
        <fieldUsage x="2"/>
      </fieldsUsage>
    </cacheHierarchy>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2" memberValueDatatype="130" unbalanced="0">
      <fieldsUsage count="2">
        <fieldUsage x="-1"/>
        <fieldUsage x="0"/>
      </fieldsUsage>
    </cacheHierarchy>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4490738" backgroundQuery="1" createdVersion="8" refreshedVersion="8" minRefreshableVersion="3" recordCount="0" supportSubquery="1" supportAdvancedDrill="1" xr:uid="{169D7276-4785-4AEC-83A1-1BDB6D5B653C}">
  <cacheSource type="external" connectionId="5"/>
  <cacheFields count="3">
    <cacheField name="[Sales_Orders].[Region].[Region]" caption="Region" numFmtId="0" hierarchy="18" level="1">
      <sharedItems containsBlank="1" count="5">
        <m/>
        <s v="East"/>
        <s v="North"/>
        <s v="South"/>
        <s v="WEST"/>
      </sharedItems>
    </cacheField>
    <cacheField name="[Sales_Orders].[Sales_Rep].[Sales_Rep]" caption="Sales_Rep" numFmtId="0" hierarchy="19" level="1">
      <sharedItems containsBlank="1" count="6">
        <m/>
        <s v="Arun"/>
        <s v="John"/>
        <s v="Karthik"/>
        <s v="Meena"/>
        <s v="Priya"/>
      </sharedItems>
    </cacheField>
    <cacheField name="[Sales_Orders].[Order_Date (Month)].[Order_Date (Month)]" caption="Order_Date (Month)" numFmtId="0" hierarchy="23" level="1">
      <sharedItems count="12">
        <s v="Jan"/>
        <s v="Feb"/>
        <s v="Mar"/>
        <s v="May"/>
        <s v="Jun"/>
        <s v="Jul"/>
        <s v="Aug"/>
        <s v="Sep"/>
        <s v="Nov"/>
        <s v="Dec"/>
        <s v="Apr"/>
        <s v="Oct"/>
      </sharedItems>
    </cacheField>
  </cacheFields>
  <cacheHierarchies count="3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ustomer_Type]" caption="Customer_Type" attribute="1" defaultMemberUniqueName="[Customers].[Customer_Type].[All]" allUniqueName="[Customers].[Customer_Type].[All]" dimensionUniqueName="[Customers]" displayFolder="" count="2" memberValueDatatype="130" unbalanced="0"/>
    <cacheHierarchy uniqueName="[Customers].[Signup_Year]" caption="Signup_Year" attribute="1" defaultMemberUniqueName="[Customers].[Signup_Year].[All]" allUniqueName="[Customers].[Signup_Year].[All]" dimensionUniqueName="[Customers]" displayFolder="" count="2" memberValueDatatype="130" unbalanced="0"/>
    <cacheHierarchy uniqueName="[Order_Details].[Order_ID]" caption="Order_ID" attribute="1" defaultMemberUniqueName="[Order_Details].[Order_ID].[All]" allUniqueName="[Order_Details].[Order_ID].[All]" dimensionUniqueName="[Order_Details]" displayFolder="" count="2" memberValueDatatype="130" unbalanced="0"/>
    <cacheHierarchy uniqueName="[Order_Details].[Product_ID]" caption="Product_ID" attribute="1" defaultMemberUniqueName="[Order_Details].[Product_ID].[All]" allUniqueName="[Order_Details].[Product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Unit_Price]" caption="Unit_Price" attribute="1" defaultMemberUniqueName="[Order_Details].[Unit_Price].[All]" allUniqueName="[Order_Details].[Unit_Price].[All]" dimensionUniqueName="[Order_Details]" displayFolder="" count="2" memberValueDatatype="5" unbalanced="0"/>
    <cacheHierarchy uniqueName="[Order_Details].[Discount_%]" caption="Discount_%" attribute="1" defaultMemberUniqueName="[Order_Details].[Discount_%].[All]" allUniqueName="[Order_Details].[Discount_%].[All]" dimensionUniqueName="[Order_Detail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rice]" caption="Cost_Price" attribute="1" defaultMemberUniqueName="[Products].[Cost_Price].[All]" allUniqueName="[Products].[Cost_Price].[All]" dimensionUniqueName="[Products]" displayFolder="" count="2" memberValueDatatype="5" unbalanced="0"/>
    <cacheHierarchy uniqueName="[Products].[Supplier]" caption="Supplier" attribute="1" defaultMemberUniqueName="[Products].[Supplier].[All]" allUniqueName="[Products].[Supplier].[All]" dimensionUniqueName="[Products]" displayFolder="" count="2" memberValueDatatype="130" unbalanced="0"/>
    <cacheHierarchy uniqueName="[Sales_Orders].[Order_ID]" caption="Order_ID" attribute="1" defaultMemberUniqueName="[Sales_Orders].[Order_ID].[All]" allUniqueName="[Sales_Orders].[Order_ID].[All]" dimensionUniqueName="[Sales_Orders]" displayFolder="" count="2"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2"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0"/>
      </fieldsUsage>
    </cacheHierarchy>
    <cacheHierarchy uniqueName="[Sales_Orders].[Sales_Rep]" caption="Sales_Rep" attribute="1" defaultMemberUniqueName="[Sales_Orders].[Sales_Rep].[All]" allUniqueName="[Sales_Orders].[Sales_Rep].[All]" dimensionUniqueName="[Sales_Orders]" displayFolder="" count="2" memberValueDatatype="130" unbalanced="0">
      <fieldsUsage count="2">
        <fieldUsage x="-1"/>
        <fieldUsage x="1"/>
      </fieldsUsage>
    </cacheHierarchy>
    <cacheHierarchy uniqueName="[Sales_Orders].[Order_Amount]" caption="Order_Amount" attribute="1" defaultMemberUniqueName="[Sales_Orders].[Order_Amount].[All]" allUniqueName="[Sales_Orders].[Order_Amount].[All]" dimensionUniqueName="[Sales_Orders]" displayFolder="" count="2" memberValueDatatype="5" unbalanced="0"/>
    <cacheHierarchy uniqueName="[Sales_Orders].[Order_Date (Year)]" caption="Order_Date (Year)" attribute="1" defaultMemberUniqueName="[Sales_Orders].[Order_Date (Year)].[All]" allUniqueName="[Sales_Orders].[Order_Date (Year)].[All]" dimensionUniqueName="[Sales_Orders]" displayFolder="" count="2"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2" memberValueDatatype="130" unbalanced="0"/>
    <cacheHierarchy uniqueName="[Sales_Orders].[Order_Date (Month)]" caption="Order_Date (Month)" attribute="1" defaultMemberUniqueName="[Sales_Orders].[Order_Date (Month)].[All]" allUniqueName="[Sales_Orders].[Order_Date (Month)].[All]" dimensionUniqueName="[Sales_Orders]" displayFolder="" count="2" memberValueDatatype="130" unbalanced="0">
      <fieldsUsage count="2">
        <fieldUsage x="-1"/>
        <fieldUsage x="2"/>
      </fieldsUsage>
    </cacheHierarchy>
    <cacheHierarchy uniqueName="[Sales_Orders].[Order_Date (Month Index)]" caption="Order_Date (Month Index)" attribute="1" defaultMemberUniqueName="[Sales_Orders].[Order_Date (Month Index)].[All]" allUniqueName="[Sales_Orders].[Order_Date (Month Index)].[All]" dimensionUniqueName="[Sales_Orders]" displayFolder="" count="2"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5069446" backgroundQuery="1" createdVersion="8" refreshedVersion="8" minRefreshableVersion="3" recordCount="0" supportSubquery="1" supportAdvancedDrill="1" xr:uid="{7FE05FEC-E381-40D8-BD3D-83E3B028DE70}">
  <cacheSource type="external" connectionId="5"/>
  <cacheFields count="4">
    <cacheField name="[Sales_Orders].[Region].[Region]" caption="Region" numFmtId="0" hierarchy="18" level="1">
      <sharedItems containsBlank="1" count="5">
        <m/>
        <s v="East"/>
        <s v="North"/>
        <s v="South"/>
        <s v="WEST"/>
      </sharedItems>
    </cacheField>
    <cacheField name="[Measures].[Sum of Unit_Price]" caption="Sum of Unit_Price" numFmtId="0" hierarchy="34" level="32767"/>
    <cacheField name="[Measures].[Sum of Quantity]" caption="Sum of Quantity" numFmtId="0" hierarchy="33" level="32767"/>
    <cacheField name="[Measures].[Sum of Order_Amount]" caption="Sum of Order_Amount" numFmtId="0" hierarchy="32" level="32767"/>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2"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0"/>
      </fieldsUsage>
    </cacheHierarchy>
    <cacheHierarchy uniqueName="[Sales_Orders].[Sales_Rep]" caption="Sales_Rep" attribute="1" defaultMemberUniqueName="[Sales_Orders].[Sales_Rep].[All]" allUniqueName="[Sales_Orders].[Sales_Rep].[All]" dimensionUniqueName="[Sales_Orders]" displayFolder="" count="2"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5300923" backgroundQuery="1" createdVersion="8" refreshedVersion="8" minRefreshableVersion="3" recordCount="0" supportSubquery="1" supportAdvancedDrill="1" xr:uid="{CFFDA1DB-7738-434E-94E3-0EEB66C420E5}">
  <cacheSource type="external" connectionId="5"/>
  <cacheFields count="2">
    <cacheField name="[Measures].[Count of Order_ID]" caption="Count of Order_ID" numFmtId="0" hierarchy="30" level="32767"/>
    <cacheField name="[Sales_Orders].[Region].[Region]" caption="Region" numFmtId="0" hierarchy="18"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1"/>
      </fieldsUsage>
    </cacheHierarchy>
    <cacheHierarchy uniqueName="[Sales_Orders].[Sales_Rep]" caption="Sales_Rep" attribute="1" defaultMemberUniqueName="[Sales_Orders].[Sales_Rep].[All]" allUniqueName="[Sales_Orders].[Sales_Rep].[All]" dimensionUniqueName="[Sales_Orders]" displayFolder="" count="2"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5879631" backgroundQuery="1" createdVersion="8" refreshedVersion="8" minRefreshableVersion="3" recordCount="0" supportSubquery="1" supportAdvancedDrill="1" xr:uid="{3A5EB290-F3D6-48FA-872A-1EEAF5BC120E}">
  <cacheSource type="external" connectionId="5"/>
  <cacheFields count="4">
    <cacheField name="[Measures].[Sum of Unit_Price]" caption="Sum of Unit_Price" numFmtId="0" hierarchy="34" level="32767"/>
    <cacheField name="[Measures].[Sum of Quantity]" caption="Sum of Quantity" numFmtId="0" hierarchy="33" level="32767"/>
    <cacheField name="[Sales_Orders].[Sales_Rep].[Sales_Rep]" caption="Sales_Rep" numFmtId="0" hierarchy="19" level="1">
      <sharedItems containsBlank="1" count="6">
        <m/>
        <s v="Arun"/>
        <s v="John"/>
        <s v="Karthik"/>
        <s v="Meena"/>
        <s v="Priya"/>
      </sharedItems>
    </cacheField>
    <cacheField name="[Sales_Orders].[Region].[Region]" caption="Region" numFmtId="0" hierarchy="18"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2"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3"/>
      </fieldsUsage>
    </cacheHierarchy>
    <cacheHierarchy uniqueName="[Sales_Orders].[Sales_Rep]" caption="Sales_Rep" attribute="1" defaultMemberUniqueName="[Sales_Orders].[Sales_Rep].[All]" allUniqueName="[Sales_Orders].[Sales_Rep].[All]" dimensionUniqueName="[Sales_Orders]" displayFolder="" count="2" memberValueDatatype="130" unbalanced="0">
      <fieldsUsage count="2">
        <fieldUsage x="-1"/>
        <fieldUsage x="2"/>
      </fieldsUsage>
    </cacheHierarchy>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6111109" backgroundQuery="1" createdVersion="8" refreshedVersion="8" minRefreshableVersion="3" recordCount="0" supportSubquery="1" supportAdvancedDrill="1" xr:uid="{20D352C0-7EE3-4A71-AFE7-CAA40C905056}">
  <cacheSource type="external" connectionId="5"/>
  <cacheFields count="2">
    <cacheField name="[Measures].[Count of Discount_%]" caption="Count of Discount_%" numFmtId="0" hierarchy="31" level="32767"/>
    <cacheField name="[Sales_Orders].[Region].[Region]" caption="Region" numFmtId="0" hierarchy="18"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1"/>
      </fieldsUsage>
    </cacheHierarchy>
    <cacheHierarchy uniqueName="[Sales_Orders].[Sales_Rep]" caption="Sales_Rep" attribute="1" defaultMemberUniqueName="[Sales_Orders].[Sales_Rep].[All]" allUniqueName="[Sales_Orders].[Sales_Rep].[All]" dimensionUniqueName="[Sales_Orders]" displayFolder="" count="2"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6342593" backgroundQuery="1" createdVersion="8" refreshedVersion="8" minRefreshableVersion="3" recordCount="0" supportSubquery="1" supportAdvancedDrill="1" xr:uid="{5406B68F-C227-43CA-B9C5-30F433CEECD5}">
  <cacheSource type="external" connectionId="5"/>
  <cacheFields count="2">
    <cacheField name="[Measures].[Sum of Order_Amount]" caption="Sum of Order_Amount" numFmtId="0" hierarchy="32" level="32767"/>
    <cacheField name="[Sales_Orders].[Region].[Region]" caption="Region" numFmtId="0" hierarchy="18"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1"/>
      </fieldsUsage>
    </cacheHierarchy>
    <cacheHierarchy uniqueName="[Sales_Orders].[Sales_Rep]" caption="Sales_Rep" attribute="1" defaultMemberUniqueName="[Sales_Orders].[Sales_Rep].[All]" allUniqueName="[Sales_Orders].[Sales_Rep].[All]" dimensionUniqueName="[Sales_Orders]" displayFolder="" count="2"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6574071" backgroundQuery="1" createdVersion="8" refreshedVersion="8" minRefreshableVersion="3" recordCount="0" supportSubquery="1" supportAdvancedDrill="1" xr:uid="{187842A2-61FE-4124-BFA7-9145E1CD6106}">
  <cacheSource type="external" connectionId="5"/>
  <cacheFields count="2">
    <cacheField name="[Measures].[Sum of Quantity]" caption="Sum of Quantity" numFmtId="0" hierarchy="33" level="32767"/>
    <cacheField name="[Sales_Orders].[Region].[Region]" caption="Region" numFmtId="0" hierarchy="18"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1"/>
      </fieldsUsage>
    </cacheHierarchy>
    <cacheHierarchy uniqueName="[Sales_Orders].[Sales_Rep]" caption="Sales_Rep" attribute="1" defaultMemberUniqueName="[Sales_Orders].[Sales_Rep].[All]" allUniqueName="[Sales_Orders].[Sales_Rep].[All]" dimensionUniqueName="[Sales_Orders]" displayFolder="" count="2"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hidden="1">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7152778" backgroundQuery="1" createdVersion="8" refreshedVersion="8" minRefreshableVersion="3" recordCount="0" supportSubquery="1" supportAdvancedDrill="1" xr:uid="{9C381675-AB43-4AC0-BE4E-0B6021F46730}">
  <cacheSource type="external" connectionId="5"/>
  <cacheFields count="3">
    <cacheField name="[Sales_Orders].[Region].[Region]" caption="Region" numFmtId="0" hierarchy="18" level="1">
      <sharedItems containsBlank="1" count="5">
        <m/>
        <s v="East"/>
        <s v="North"/>
        <s v="South"/>
        <s v="WEST"/>
      </sharedItems>
    </cacheField>
    <cacheField name="[Measures].[Sum of Order_Amount]" caption="Sum of Order_Amount" numFmtId="0" hierarchy="32" level="32767"/>
    <cacheField name="[Measures].[Sum of Unit_Price]" caption="Sum of Unit_Price" numFmtId="0" hierarchy="34" level="32767"/>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0"/>
      </fieldsUsage>
    </cacheHierarchy>
    <cacheHierarchy uniqueName="[Sales_Orders].[Sales_Rep]" caption="Sales_Rep" attribute="1" defaultMemberUniqueName="[Sales_Orders].[Sales_Rep].[All]" allUniqueName="[Sales_Orders].[Sales_Rep].[All]" dimensionUniqueName="[Sales_Orders]" displayFolder="" count="2"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761574" backgroundQuery="1" createdVersion="8" refreshedVersion="8" minRefreshableVersion="3" recordCount="0" supportSubquery="1" supportAdvancedDrill="1" xr:uid="{F340D3E4-6F2C-48AB-B536-6B652BCB086C}">
  <cacheSource type="external" connectionId="5"/>
  <cacheFields count="2">
    <cacheField name="[Sales_Orders].[Region].[Region]" caption="Region" numFmtId="0" hierarchy="18" level="1">
      <sharedItems containsBlank="1" count="5">
        <m/>
        <s v="East"/>
        <s v="North"/>
        <s v="South"/>
        <s v="WEST"/>
      </sharedItems>
    </cacheField>
    <cacheField name="[Measures].[Sum of Unit_Price]" caption="Sum of Unit_Price" numFmtId="0" hierarchy="34" level="32767"/>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0"/>
      </fieldsUsage>
    </cacheHierarchy>
    <cacheHierarchy uniqueName="[Sales_Orders].[Sales_Rep]" caption="Sales_Rep" attribute="1" defaultMemberUniqueName="[Sales_Orders].[Sales_Rep].[All]" allUniqueName="[Sales_Orders].[Sales_Rep].[All]" dimensionUniqueName="[Sales_Orders]" displayFolder="" count="2"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41088194441" backgroundQuery="1" createdVersion="8" refreshedVersion="8" minRefreshableVersion="3" recordCount="0" supportSubquery="1" supportAdvancedDrill="1" xr:uid="{369C5AAD-3242-48DD-ADA2-EC3928E1AF7E}">
  <cacheSource type="external" connectionId="5"/>
  <cacheFields count="4">
    <cacheField name="[Sales_Orders].[Region].[Region]" caption="Region" numFmtId="0" hierarchy="18" level="1">
      <sharedItems containsBlank="1" count="5">
        <m/>
        <s v="East"/>
        <s v="North"/>
        <s v="South"/>
        <s v="WEST"/>
      </sharedItems>
    </cacheField>
    <cacheField name="[Measures].[Sum of Unit_Price]" caption="Sum of Unit_Price" numFmtId="0" hierarchy="34" level="32767"/>
    <cacheField name="[Measures].[Sum of Quantity]" caption="Sum of Quantity" numFmtId="0" hierarchy="33" level="32767"/>
    <cacheField name="[Measures].[Sum of Order_Amount]" caption="Sum of Order_Amount" numFmtId="0" hierarchy="32" level="32767"/>
  </cacheFields>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2"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fieldsUsage count="2">
        <fieldUsage x="-1"/>
        <fieldUsage x="0"/>
      </fieldsUsage>
    </cacheHierarchy>
    <cacheHierarchy uniqueName="[Sales_Orders].[Sales_Rep]" caption="Sales_Rep" attribute="1" defaultMemberUniqueName="[Sales_Orders].[Sales_Rep].[All]" allUniqueName="[Sales_Orders].[Sales_Rep].[All]" dimensionUniqueName="[Sales_Orders]" displayFolder="" count="2"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5">
    <dimension name="Customers" uniqueName="[Customers]" caption="Customers"/>
    <dimension measure="1" name="Measures" uniqueName="[Measures]" caption="Measures"/>
    <dimension name="Order_Details" uniqueName="[Order_Details]" caption="Order_Details"/>
    <dimension name="Products" uniqueName="[Products]" caption="Products"/>
    <dimension name="Sales_Orders" uniqueName="[Sales_Orders]" caption="Sales_Orders"/>
  </dimensions>
  <measureGroups count="4">
    <measureGroup name="Customers" caption="Customers"/>
    <measureGroup name="Order_Details" caption="Order_Details"/>
    <measureGroup name="Products" caption="Products"/>
    <measureGroup name="Sales_Orders" caption="Sales_Order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406705208334" backgroundQuery="1" createdVersion="3" refreshedVersion="8" minRefreshableVersion="3" recordCount="0" supportSubquery="1" supportAdvancedDrill="1" xr:uid="{7E049846-6CB7-4726-B265-CCE67B132C4F}">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0"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2" memberValueDatatype="130" unbalanced="0"/>
    <cacheHierarchy uniqueName="[Sales_Orders].[Sales_Rep]" caption="Sales_Rep" attribute="1" defaultMemberUniqueName="[Sales_Orders].[Sales_Rep].[All]" allUniqueName="[Sales_Orders].[Sales_Rep].[All]" dimensionUniqueName="[Sales_Orders]" displayFolder="" count="2"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224701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hini S" refreshedDate="46042.531010069448" backgroundQuery="1" createdVersion="3" refreshedVersion="8" minRefreshableVersion="3" recordCount="0" supportSubquery="1" supportAdvancedDrill="1" xr:uid="{2651574E-7D60-4E4D-8E64-DD4557852A66}">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Type]" caption="Customer_Type" attribute="1" defaultMemberUniqueName="[Customers].[Customer_Type].[All]" allUniqueName="[Customers].[Customer_Type].[All]" dimensionUniqueName="[Customers]" displayFolder="" count="0" memberValueDatatype="130" unbalanced="0"/>
    <cacheHierarchy uniqueName="[Customers].[Signup_Year]" caption="Signup_Year" attribute="1" defaultMemberUniqueName="[Customers].[Signup_Year].[All]" allUniqueName="[Customers].[Signup_Year].[All]" dimensionUniqueName="[Customer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_Price]" caption="Unit_Price" attribute="1" defaultMemberUniqueName="[Order_Details].[Unit_Price].[All]" allUniqueName="[Order_Details].[Unit_Price].[All]" dimensionUniqueName="[Order_Details]" displayFolder="" count="0" memberValueDatatype="5" unbalanced="0"/>
    <cacheHierarchy uniqueName="[Order_Details].[Discount_%]" caption="Discount_%" attribute="1" defaultMemberUniqueName="[Order_Details].[Discount_%].[All]" allUniqueName="[Order_Details].[Discount_%].[All]" dimensionUniqueName="[Order_Detail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Region]" caption="Region" attribute="1" defaultMemberUniqueName="[Sales_Orders].[Region].[All]" allUniqueName="[Sales_Orders].[Region].[All]" dimensionUniqueName="[Sales_Orders]" displayFolder="" count="0" memberValueDatatype="130" unbalanced="0"/>
    <cacheHierarchy uniqueName="[Sales_Orders].[Sales_Rep]" caption="Sales_Rep" attribute="1" defaultMemberUniqueName="[Sales_Orders].[Sales_Rep].[All]" allUniqueName="[Sales_Orders].[Sales_Rep].[All]" dimensionUniqueName="[Sales_Orders]" displayFolder="" count="0" memberValueDatatype="130" unbalanced="0"/>
    <cacheHierarchy uniqueName="[Sales_Orders].[Order_Amount]" caption="Order_Amount" attribute="1" defaultMemberUniqueName="[Sales_Orders].[Order_Amount].[All]" allUniqueName="[Sales_Orders].[Order_Amount].[All]" dimensionUniqueName="[Sales_Orders]" displayFolder="" count="0" memberValueDatatype="5" unbalanced="0"/>
    <cacheHierarchy uniqueName="[Sales_Orders].[Order_Date (Year)]" caption="Order_Date (Year)" attribute="1" defaultMemberUniqueName="[Sales_Orders].[Order_Date (Year)].[All]" allUniqueName="[Sales_Orders].[Order_Date (Year)].[All]" dimensionUniqueName="[Sales_Orders]" displayFolder="" count="0" memberValueDatatype="130" unbalanced="0"/>
    <cacheHierarchy uniqueName="[Sales_Orders].[Order_Date (Quarter)]" caption="Order_Date (Quarter)" attribute="1" defaultMemberUniqueName="[Sales_Orders].[Order_Date (Quarter)].[All]" allUniqueName="[Sales_Orders].[Order_Date (Quarter)].[All]" dimensionUniqueName="[Sales_Orders]" displayFolder="" count="0" memberValueDatatype="130" unbalanced="0"/>
    <cacheHierarchy uniqueName="[Sales_Orders].[Order_Date (Month)]" caption="Order_Date (Month)" attribute="1" defaultMemberUniqueName="[Sales_Orders].[Order_Date (Month)].[All]" allUniqueName="[Sales_Orders].[Order_Date (Month)].[All]" dimensionUniqueName="[Sales_Orders]" displayFolder="" count="0" memberValueDatatype="130" unbalanced="0"/>
    <cacheHierarchy uniqueName="[Sales_Orders].[Order_Date (Month Index)]" caption="Order_Date (Month Index)" attribute="1" defaultMemberUniqueName="[Sales_Orders].[Order_Date (Month Index)].[All]" allUniqueName="[Sales_Orders].[Order_Date (Month Index)].[All]" dimensionUniqueName="[Sales_Orders]" displayFolder="" count="0" memberValueDatatype="20" unbalanced="0" hidden="1"/>
    <cacheHierarchy uniqueName="[Measures].[__XL_Count Customers]" caption="__XL_Count Customers" measure="1" displayFolder="" measureGroup="Customer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Sales_Orders]" caption="__XL_Count Sales_Orders" measure="1" displayFolder="" measureGroup="Sales_Orders" count="0" hidden="1"/>
    <cacheHierarchy uniqueName="[Measures].[__No measures defined]" caption="__No measures defined" measure="1" displayFolder="" count="0" hidden="1"/>
    <cacheHierarchy uniqueName="[Measures].[Count of Order_ID]" caption="Count of Order_ID" measure="1" displayFolder="" measureGroup="Sales_Orders" count="0" hidden="1">
      <extLst>
        <ext xmlns:x15="http://schemas.microsoft.com/office/spreadsheetml/2010/11/main" uri="{B97F6D7D-B522-45F9-BDA1-12C45D357490}">
          <x15:cacheHierarchy aggregatedColumn="15"/>
        </ext>
      </extLst>
    </cacheHierarchy>
    <cacheHierarchy uniqueName="[Measures].[Count of Discount_%]" caption="Count of Discount_%" measure="1" displayFolder="" measureGroup="Order_Details" count="0" hidden="1">
      <extLst>
        <ext xmlns:x15="http://schemas.microsoft.com/office/spreadsheetml/2010/11/main" uri="{B97F6D7D-B522-45F9-BDA1-12C45D357490}">
          <x15:cacheHierarchy aggregatedColumn="9"/>
        </ext>
      </extLst>
    </cacheHierarchy>
    <cacheHierarchy uniqueName="[Measures].[Sum of Order_Amount]" caption="Sum of Order_Amount" measure="1" displayFolder="" measureGroup="Sales_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7"/>
        </ext>
      </extLst>
    </cacheHierarchy>
    <cacheHierarchy uniqueName="[Measures].[Sum of Unit_Price]" caption="Sum of Unit_Price" measure="1" displayFolder="" measureGroup="Order_Detail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8434775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4710F4-7269-4458-A078-352C04D67BFB}" name="PivotTable1" cacheId="29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3E65CA-DA7F-45E4-AC02-E4ABFB72EA35}" name="PivotTable6" cacheId="3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31:C37" firstHeaderRow="0"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v="1"/>
    </i>
    <i>
      <x v="3"/>
    </i>
    <i>
      <x/>
    </i>
    <i>
      <x v="2"/>
    </i>
    <i>
      <x v="4"/>
    </i>
    <i t="grand">
      <x/>
    </i>
  </rowItems>
  <colFields count="1">
    <field x="-2"/>
  </colFields>
  <colItems count="2">
    <i>
      <x/>
    </i>
    <i i="1">
      <x v="1"/>
    </i>
  </colItems>
  <dataFields count="2">
    <dataField name="Sum of Order_Amount" fld="1" baseField="0" baseItem="0"/>
    <dataField name="Sum of Unit_Price" fld="2" baseField="0" baseItem="0"/>
  </dataField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AAAB2C-08B0-4E0D-B99C-0A00B5A0BE68}" name="PivotTable8" cacheId="29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56:A429" firstHeaderRow="1" firstDataRow="1" firstDataCol="1"/>
  <pivotFields count="3">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3">
    <field x="0"/>
    <field x="1"/>
    <field x="2"/>
  </rowFields>
  <rowItems count="373">
    <i>
      <x/>
    </i>
    <i r="1">
      <x/>
    </i>
    <i r="2">
      <x/>
    </i>
    <i r="2">
      <x v="1"/>
    </i>
    <i r="2">
      <x v="2"/>
    </i>
    <i r="2">
      <x v="3"/>
    </i>
    <i r="2">
      <x v="4"/>
    </i>
    <i r="2">
      <x v="5"/>
    </i>
    <i r="2">
      <x v="6"/>
    </i>
    <i r="2">
      <x v="7"/>
    </i>
    <i r="2">
      <x v="8"/>
    </i>
    <i r="2">
      <x v="9"/>
    </i>
    <i r="1">
      <x v="1"/>
    </i>
    <i r="2">
      <x/>
    </i>
    <i r="2">
      <x v="1"/>
    </i>
    <i r="2">
      <x v="2"/>
    </i>
    <i r="2">
      <x v="10"/>
    </i>
    <i r="2">
      <x v="3"/>
    </i>
    <i r="2">
      <x v="4"/>
    </i>
    <i r="2">
      <x v="5"/>
    </i>
    <i r="2">
      <x v="6"/>
    </i>
    <i r="2">
      <x v="7"/>
    </i>
    <i r="2">
      <x v="11"/>
    </i>
    <i r="2">
      <x v="8"/>
    </i>
    <i r="2">
      <x v="9"/>
    </i>
    <i r="1">
      <x v="2"/>
    </i>
    <i r="2">
      <x/>
    </i>
    <i r="2">
      <x v="1"/>
    </i>
    <i r="2">
      <x v="2"/>
    </i>
    <i r="2">
      <x v="10"/>
    </i>
    <i r="2">
      <x v="3"/>
    </i>
    <i r="2">
      <x v="4"/>
    </i>
    <i r="2">
      <x v="5"/>
    </i>
    <i r="2">
      <x v="6"/>
    </i>
    <i r="2">
      <x v="7"/>
    </i>
    <i r="2">
      <x v="11"/>
    </i>
    <i r="2">
      <x v="8"/>
    </i>
    <i r="2">
      <x v="9"/>
    </i>
    <i r="1">
      <x v="3"/>
    </i>
    <i r="2">
      <x/>
    </i>
    <i r="2">
      <x v="1"/>
    </i>
    <i r="2">
      <x v="2"/>
    </i>
    <i r="2">
      <x v="10"/>
    </i>
    <i r="2">
      <x v="3"/>
    </i>
    <i r="2">
      <x v="4"/>
    </i>
    <i r="2">
      <x v="5"/>
    </i>
    <i r="2">
      <x v="11"/>
    </i>
    <i r="2">
      <x v="8"/>
    </i>
    <i r="2">
      <x v="9"/>
    </i>
    <i r="1">
      <x v="4"/>
    </i>
    <i r="2">
      <x/>
    </i>
    <i r="2">
      <x v="1"/>
    </i>
    <i r="2">
      <x v="2"/>
    </i>
    <i r="2">
      <x v="10"/>
    </i>
    <i r="2">
      <x v="3"/>
    </i>
    <i r="2">
      <x v="4"/>
    </i>
    <i r="2">
      <x v="5"/>
    </i>
    <i r="2">
      <x v="6"/>
    </i>
    <i r="2">
      <x v="7"/>
    </i>
    <i r="2">
      <x v="8"/>
    </i>
    <i r="2">
      <x v="9"/>
    </i>
    <i r="1">
      <x v="5"/>
    </i>
    <i r="2">
      <x/>
    </i>
    <i r="2">
      <x v="1"/>
    </i>
    <i r="2">
      <x v="10"/>
    </i>
    <i r="2">
      <x v="3"/>
    </i>
    <i r="2">
      <x v="4"/>
    </i>
    <i r="2">
      <x v="5"/>
    </i>
    <i r="2">
      <x v="6"/>
    </i>
    <i r="2">
      <x v="7"/>
    </i>
    <i r="2">
      <x v="11"/>
    </i>
    <i r="2">
      <x v="8"/>
    </i>
    <i r="2">
      <x v="9"/>
    </i>
    <i>
      <x v="1"/>
    </i>
    <i r="1">
      <x/>
    </i>
    <i r="2">
      <x/>
    </i>
    <i r="2">
      <x v="1"/>
    </i>
    <i r="2">
      <x v="2"/>
    </i>
    <i r="2">
      <x v="10"/>
    </i>
    <i r="2">
      <x v="3"/>
    </i>
    <i r="2">
      <x v="4"/>
    </i>
    <i r="2">
      <x v="6"/>
    </i>
    <i r="2">
      <x v="7"/>
    </i>
    <i r="2">
      <x v="8"/>
    </i>
    <i r="2">
      <x v="9"/>
    </i>
    <i r="1">
      <x v="1"/>
    </i>
    <i r="2">
      <x/>
    </i>
    <i r="2">
      <x v="1"/>
    </i>
    <i r="2">
      <x v="2"/>
    </i>
    <i r="2">
      <x v="10"/>
    </i>
    <i r="2">
      <x v="4"/>
    </i>
    <i r="2">
      <x v="5"/>
    </i>
    <i r="2">
      <x v="6"/>
    </i>
    <i r="2">
      <x v="7"/>
    </i>
    <i r="2">
      <x v="11"/>
    </i>
    <i r="2">
      <x v="8"/>
    </i>
    <i r="2">
      <x v="9"/>
    </i>
    <i r="1">
      <x v="2"/>
    </i>
    <i r="2">
      <x/>
    </i>
    <i r="2">
      <x v="1"/>
    </i>
    <i r="2">
      <x v="2"/>
    </i>
    <i r="2">
      <x v="10"/>
    </i>
    <i r="2">
      <x v="3"/>
    </i>
    <i r="2">
      <x v="4"/>
    </i>
    <i r="2">
      <x v="5"/>
    </i>
    <i r="2">
      <x v="6"/>
    </i>
    <i r="2">
      <x v="7"/>
    </i>
    <i r="2">
      <x v="11"/>
    </i>
    <i r="1">
      <x v="3"/>
    </i>
    <i r="2">
      <x/>
    </i>
    <i r="2">
      <x v="1"/>
    </i>
    <i r="2">
      <x v="2"/>
    </i>
    <i r="2">
      <x v="3"/>
    </i>
    <i r="2">
      <x v="4"/>
    </i>
    <i r="2">
      <x v="5"/>
    </i>
    <i r="2">
      <x v="6"/>
    </i>
    <i r="2">
      <x v="7"/>
    </i>
    <i r="2">
      <x v="8"/>
    </i>
    <i r="2">
      <x v="9"/>
    </i>
    <i r="1">
      <x v="4"/>
    </i>
    <i r="2">
      <x/>
    </i>
    <i r="2">
      <x v="1"/>
    </i>
    <i r="2">
      <x v="2"/>
    </i>
    <i r="2">
      <x v="10"/>
    </i>
    <i r="2">
      <x v="3"/>
    </i>
    <i r="2">
      <x v="4"/>
    </i>
    <i r="2">
      <x v="5"/>
    </i>
    <i r="2">
      <x v="6"/>
    </i>
    <i r="2">
      <x v="7"/>
    </i>
    <i r="2">
      <x v="11"/>
    </i>
    <i r="2">
      <x v="8"/>
    </i>
    <i r="1">
      <x v="5"/>
    </i>
    <i r="2">
      <x/>
    </i>
    <i r="2">
      <x v="1"/>
    </i>
    <i r="2">
      <x v="10"/>
    </i>
    <i r="2">
      <x v="4"/>
    </i>
    <i r="2">
      <x v="5"/>
    </i>
    <i r="2">
      <x v="6"/>
    </i>
    <i r="2">
      <x v="7"/>
    </i>
    <i r="2">
      <x v="11"/>
    </i>
    <i r="2">
      <x v="8"/>
    </i>
    <i r="2">
      <x v="9"/>
    </i>
    <i>
      <x v="2"/>
    </i>
    <i r="1">
      <x/>
    </i>
    <i r="2">
      <x/>
    </i>
    <i r="2">
      <x v="1"/>
    </i>
    <i r="2">
      <x v="2"/>
    </i>
    <i r="2">
      <x v="10"/>
    </i>
    <i r="2">
      <x v="3"/>
    </i>
    <i r="2">
      <x v="4"/>
    </i>
    <i r="2">
      <x v="5"/>
    </i>
    <i r="2">
      <x v="6"/>
    </i>
    <i r="2">
      <x v="7"/>
    </i>
    <i r="2">
      <x v="11"/>
    </i>
    <i r="2">
      <x v="8"/>
    </i>
    <i r="2">
      <x v="9"/>
    </i>
    <i r="1">
      <x v="1"/>
    </i>
    <i r="2">
      <x/>
    </i>
    <i r="2">
      <x v="1"/>
    </i>
    <i r="2">
      <x v="2"/>
    </i>
    <i r="2">
      <x v="10"/>
    </i>
    <i r="2">
      <x v="3"/>
    </i>
    <i r="2">
      <x v="4"/>
    </i>
    <i r="2">
      <x v="5"/>
    </i>
    <i r="2">
      <x v="6"/>
    </i>
    <i r="2">
      <x v="7"/>
    </i>
    <i r="2">
      <x v="11"/>
    </i>
    <i r="2">
      <x v="8"/>
    </i>
    <i r="2">
      <x v="9"/>
    </i>
    <i r="1">
      <x v="2"/>
    </i>
    <i r="2">
      <x/>
    </i>
    <i r="2">
      <x v="1"/>
    </i>
    <i r="2">
      <x v="2"/>
    </i>
    <i r="2">
      <x v="10"/>
    </i>
    <i r="2">
      <x v="3"/>
    </i>
    <i r="2">
      <x v="4"/>
    </i>
    <i r="2">
      <x v="5"/>
    </i>
    <i r="2">
      <x v="6"/>
    </i>
    <i r="2">
      <x v="7"/>
    </i>
    <i r="2">
      <x v="11"/>
    </i>
    <i r="2">
      <x v="8"/>
    </i>
    <i r="2">
      <x v="9"/>
    </i>
    <i r="1">
      <x v="3"/>
    </i>
    <i r="2">
      <x/>
    </i>
    <i r="2">
      <x v="1"/>
    </i>
    <i r="2">
      <x v="2"/>
    </i>
    <i r="2">
      <x v="10"/>
    </i>
    <i r="2">
      <x v="3"/>
    </i>
    <i r="2">
      <x v="4"/>
    </i>
    <i r="2">
      <x v="5"/>
    </i>
    <i r="2">
      <x v="6"/>
    </i>
    <i r="2">
      <x v="7"/>
    </i>
    <i r="2">
      <x v="11"/>
    </i>
    <i r="2">
      <x v="8"/>
    </i>
    <i r="2">
      <x v="9"/>
    </i>
    <i r="1">
      <x v="4"/>
    </i>
    <i r="2">
      <x/>
    </i>
    <i r="2">
      <x v="1"/>
    </i>
    <i r="2">
      <x v="2"/>
    </i>
    <i r="2">
      <x v="10"/>
    </i>
    <i r="2">
      <x v="3"/>
    </i>
    <i r="2">
      <x v="4"/>
    </i>
    <i r="2">
      <x v="5"/>
    </i>
    <i r="2">
      <x v="6"/>
    </i>
    <i r="2">
      <x v="7"/>
    </i>
    <i r="2">
      <x v="11"/>
    </i>
    <i r="2">
      <x v="8"/>
    </i>
    <i r="2">
      <x v="9"/>
    </i>
    <i r="1">
      <x v="5"/>
    </i>
    <i r="2">
      <x/>
    </i>
    <i r="2">
      <x v="1"/>
    </i>
    <i r="2">
      <x v="2"/>
    </i>
    <i r="2">
      <x v="10"/>
    </i>
    <i r="2">
      <x v="3"/>
    </i>
    <i r="2">
      <x v="4"/>
    </i>
    <i r="2">
      <x v="5"/>
    </i>
    <i r="2">
      <x v="6"/>
    </i>
    <i r="2">
      <x v="7"/>
    </i>
    <i r="2">
      <x v="11"/>
    </i>
    <i r="2">
      <x v="8"/>
    </i>
    <i r="2">
      <x v="9"/>
    </i>
    <i>
      <x v="3"/>
    </i>
    <i r="1">
      <x/>
    </i>
    <i r="2">
      <x/>
    </i>
    <i r="2">
      <x v="1"/>
    </i>
    <i r="2">
      <x v="2"/>
    </i>
    <i r="2">
      <x v="10"/>
    </i>
    <i r="2">
      <x v="3"/>
    </i>
    <i r="2">
      <x v="4"/>
    </i>
    <i r="2">
      <x v="5"/>
    </i>
    <i r="2">
      <x v="6"/>
    </i>
    <i r="2">
      <x v="7"/>
    </i>
    <i r="2">
      <x v="11"/>
    </i>
    <i r="2">
      <x v="8"/>
    </i>
    <i r="2">
      <x v="9"/>
    </i>
    <i r="1">
      <x v="1"/>
    </i>
    <i r="2">
      <x/>
    </i>
    <i r="2">
      <x v="1"/>
    </i>
    <i r="2">
      <x v="2"/>
    </i>
    <i r="2">
      <x v="10"/>
    </i>
    <i r="2">
      <x v="4"/>
    </i>
    <i r="2">
      <x v="5"/>
    </i>
    <i r="2">
      <x v="6"/>
    </i>
    <i r="2">
      <x v="7"/>
    </i>
    <i r="2">
      <x v="11"/>
    </i>
    <i r="2">
      <x v="8"/>
    </i>
    <i r="2">
      <x v="9"/>
    </i>
    <i r="1">
      <x v="2"/>
    </i>
    <i r="2">
      <x/>
    </i>
    <i r="2">
      <x v="1"/>
    </i>
    <i r="2">
      <x v="2"/>
    </i>
    <i r="2">
      <x v="10"/>
    </i>
    <i r="2">
      <x v="3"/>
    </i>
    <i r="2">
      <x v="6"/>
    </i>
    <i r="2">
      <x v="7"/>
    </i>
    <i r="2">
      <x v="11"/>
    </i>
    <i r="2">
      <x v="9"/>
    </i>
    <i r="1">
      <x v="3"/>
    </i>
    <i r="2">
      <x/>
    </i>
    <i r="2">
      <x v="1"/>
    </i>
    <i r="2">
      <x v="10"/>
    </i>
    <i r="2">
      <x v="3"/>
    </i>
    <i r="2">
      <x v="4"/>
    </i>
    <i r="2">
      <x v="5"/>
    </i>
    <i r="2">
      <x v="6"/>
    </i>
    <i r="2">
      <x v="7"/>
    </i>
    <i r="2">
      <x v="8"/>
    </i>
    <i r="2">
      <x v="9"/>
    </i>
    <i r="1">
      <x v="4"/>
    </i>
    <i r="2">
      <x/>
    </i>
    <i r="2">
      <x v="1"/>
    </i>
    <i r="2">
      <x v="2"/>
    </i>
    <i r="2">
      <x v="10"/>
    </i>
    <i r="2">
      <x v="3"/>
    </i>
    <i r="2">
      <x v="4"/>
    </i>
    <i r="2">
      <x v="5"/>
    </i>
    <i r="2">
      <x v="6"/>
    </i>
    <i r="2">
      <x v="11"/>
    </i>
    <i r="2">
      <x v="8"/>
    </i>
    <i r="2">
      <x v="9"/>
    </i>
    <i r="1">
      <x v="5"/>
    </i>
    <i r="2">
      <x/>
    </i>
    <i r="2">
      <x v="1"/>
    </i>
    <i r="2">
      <x v="2"/>
    </i>
    <i r="2">
      <x v="10"/>
    </i>
    <i r="2">
      <x v="3"/>
    </i>
    <i r="2">
      <x v="4"/>
    </i>
    <i r="2">
      <x v="5"/>
    </i>
    <i r="2">
      <x v="6"/>
    </i>
    <i r="2">
      <x v="7"/>
    </i>
    <i r="2">
      <x v="11"/>
    </i>
    <i r="2">
      <x v="8"/>
    </i>
    <i r="2">
      <x v="9"/>
    </i>
    <i>
      <x v="4"/>
    </i>
    <i r="1">
      <x/>
    </i>
    <i r="2">
      <x/>
    </i>
    <i r="2">
      <x v="1"/>
    </i>
    <i r="2">
      <x v="2"/>
    </i>
    <i r="2">
      <x v="10"/>
    </i>
    <i r="2">
      <x v="3"/>
    </i>
    <i r="2">
      <x v="4"/>
    </i>
    <i r="2">
      <x v="5"/>
    </i>
    <i r="2">
      <x v="6"/>
    </i>
    <i r="2">
      <x v="7"/>
    </i>
    <i r="2">
      <x v="11"/>
    </i>
    <i r="2">
      <x v="8"/>
    </i>
    <i r="2">
      <x v="9"/>
    </i>
    <i r="1">
      <x v="1"/>
    </i>
    <i r="2">
      <x/>
    </i>
    <i r="2">
      <x v="1"/>
    </i>
    <i r="2">
      <x v="2"/>
    </i>
    <i r="2">
      <x v="10"/>
    </i>
    <i r="2">
      <x v="3"/>
    </i>
    <i r="2">
      <x v="4"/>
    </i>
    <i r="2">
      <x v="5"/>
    </i>
    <i r="2">
      <x v="6"/>
    </i>
    <i r="2">
      <x v="7"/>
    </i>
    <i r="2">
      <x v="11"/>
    </i>
    <i r="2">
      <x v="8"/>
    </i>
    <i r="2">
      <x v="9"/>
    </i>
    <i r="1">
      <x v="2"/>
    </i>
    <i r="2">
      <x/>
    </i>
    <i r="2">
      <x v="1"/>
    </i>
    <i r="2">
      <x v="2"/>
    </i>
    <i r="2">
      <x v="10"/>
    </i>
    <i r="2">
      <x v="3"/>
    </i>
    <i r="2">
      <x v="4"/>
    </i>
    <i r="2">
      <x v="5"/>
    </i>
    <i r="2">
      <x v="6"/>
    </i>
    <i r="2">
      <x v="7"/>
    </i>
    <i r="2">
      <x v="11"/>
    </i>
    <i r="2">
      <x v="8"/>
    </i>
    <i r="2">
      <x v="9"/>
    </i>
    <i r="1">
      <x v="3"/>
    </i>
    <i r="2">
      <x/>
    </i>
    <i r="2">
      <x v="1"/>
    </i>
    <i r="2">
      <x v="2"/>
    </i>
    <i r="2">
      <x v="10"/>
    </i>
    <i r="2">
      <x v="3"/>
    </i>
    <i r="2">
      <x v="4"/>
    </i>
    <i r="2">
      <x v="5"/>
    </i>
    <i r="2">
      <x v="6"/>
    </i>
    <i r="2">
      <x v="7"/>
    </i>
    <i r="2">
      <x v="11"/>
    </i>
    <i r="2">
      <x v="8"/>
    </i>
    <i r="2">
      <x v="9"/>
    </i>
    <i r="1">
      <x v="4"/>
    </i>
    <i r="2">
      <x/>
    </i>
    <i r="2">
      <x v="1"/>
    </i>
    <i r="2">
      <x v="2"/>
    </i>
    <i r="2">
      <x v="10"/>
    </i>
    <i r="2">
      <x v="3"/>
    </i>
    <i r="2">
      <x v="4"/>
    </i>
    <i r="2">
      <x v="5"/>
    </i>
    <i r="2">
      <x v="6"/>
    </i>
    <i r="2">
      <x v="7"/>
    </i>
    <i r="2">
      <x v="11"/>
    </i>
    <i r="2">
      <x v="8"/>
    </i>
    <i r="2">
      <x v="9"/>
    </i>
    <i r="1">
      <x v="5"/>
    </i>
    <i r="2">
      <x/>
    </i>
    <i r="2">
      <x v="1"/>
    </i>
    <i r="2">
      <x v="2"/>
    </i>
    <i r="2">
      <x v="10"/>
    </i>
    <i r="2">
      <x v="3"/>
    </i>
    <i r="2">
      <x v="4"/>
    </i>
    <i r="2">
      <x v="5"/>
    </i>
    <i r="2">
      <x v="6"/>
    </i>
    <i r="2">
      <x v="7"/>
    </i>
    <i r="2">
      <x v="11"/>
    </i>
    <i r="2">
      <x v="8"/>
    </i>
    <i r="2">
      <x v="9"/>
    </i>
    <i t="grand">
      <x/>
    </i>
  </rowItem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8"/>
    <rowHierarchyUsage hierarchyUsage="19"/>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101C82-C474-48C2-9714-91219562A95C}" name="PivotTable2" cacheId="2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Discount_%"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680958-78B3-4292-B199-9AC668F9BA03}" name="PivotTable4" cacheId="29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2D8B2D-E7D0-4465-96AC-2438B1B2236F}" name="PivotTable7" cacheId="30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45:B5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Unit_Price" fld="1" baseField="0" baseItem="0"/>
  </dataFields>
  <chartFormats count="19">
    <chartFormat chart="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0" count="1" selected="0">
            <x v="0"/>
          </reference>
        </references>
      </pivotArea>
    </chartFormat>
    <chartFormat chart="16" format="2">
      <pivotArea type="data" outline="0" fieldPosition="0">
        <references count="2">
          <reference field="4294967294" count="1" selected="0">
            <x v="0"/>
          </reference>
          <reference field="0" count="1" selected="0">
            <x v="1"/>
          </reference>
        </references>
      </pivotArea>
    </chartFormat>
    <chartFormat chart="16" format="3">
      <pivotArea type="data" outline="0" fieldPosition="0">
        <references count="2">
          <reference field="4294967294" count="1" selected="0">
            <x v="0"/>
          </reference>
          <reference field="0" count="1" selected="0">
            <x v="2"/>
          </reference>
        </references>
      </pivotArea>
    </chartFormat>
    <chartFormat chart="16" format="4">
      <pivotArea type="data" outline="0" fieldPosition="0">
        <references count="2">
          <reference field="4294967294" count="1" selected="0">
            <x v="0"/>
          </reference>
          <reference field="0" count="1" selected="0">
            <x v="3"/>
          </reference>
        </references>
      </pivotArea>
    </chartFormat>
    <chartFormat chart="16" format="5">
      <pivotArea type="data" outline="0" fieldPosition="0">
        <references count="2">
          <reference field="4294967294" count="1" selected="0">
            <x v="0"/>
          </reference>
          <reference field="0" count="1" selected="0">
            <x v="4"/>
          </reference>
        </references>
      </pivotArea>
    </chartFormat>
    <chartFormat chart="19" format="1">
      <pivotArea type="data" outline="0" fieldPosition="0">
        <references count="2">
          <reference field="4294967294" count="1" selected="0">
            <x v="0"/>
          </reference>
          <reference field="0" count="1" selected="0">
            <x v="0"/>
          </reference>
        </references>
      </pivotArea>
    </chartFormat>
    <chartFormat chart="19" format="2">
      <pivotArea type="data" outline="0" fieldPosition="0">
        <references count="2">
          <reference field="4294967294" count="1" selected="0">
            <x v="0"/>
          </reference>
          <reference field="0" count="1" selected="0">
            <x v="1"/>
          </reference>
        </references>
      </pivotArea>
    </chartFormat>
    <chartFormat chart="19" format="3">
      <pivotArea type="data" outline="0" fieldPosition="0">
        <references count="2">
          <reference field="4294967294" count="1" selected="0">
            <x v="0"/>
          </reference>
          <reference field="0" count="1" selected="0">
            <x v="2"/>
          </reference>
        </references>
      </pivotArea>
    </chartFormat>
    <chartFormat chart="19" format="4">
      <pivotArea type="data" outline="0" fieldPosition="0">
        <references count="2">
          <reference field="4294967294" count="1" selected="0">
            <x v="0"/>
          </reference>
          <reference field="0" count="1" selected="0">
            <x v="3"/>
          </reference>
        </references>
      </pivotArea>
    </chartFormat>
    <chartFormat chart="19" format="5">
      <pivotArea type="data" outline="0" fieldPosition="0">
        <references count="2">
          <reference field="4294967294" count="1" selected="0">
            <x v="0"/>
          </reference>
          <reference field="0" count="1" selected="0">
            <x v="4"/>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0" count="1" selected="0">
            <x v="0"/>
          </reference>
        </references>
      </pivotArea>
    </chartFormat>
    <chartFormat chart="22" format="14">
      <pivotArea type="data" outline="0" fieldPosition="0">
        <references count="2">
          <reference field="4294967294" count="1" selected="0">
            <x v="0"/>
          </reference>
          <reference field="0" count="1" selected="0">
            <x v="1"/>
          </reference>
        </references>
      </pivotArea>
    </chartFormat>
    <chartFormat chart="22" format="15">
      <pivotArea type="data" outline="0" fieldPosition="0">
        <references count="2">
          <reference field="4294967294" count="1" selected="0">
            <x v="0"/>
          </reference>
          <reference field="0" count="1" selected="0">
            <x v="2"/>
          </reference>
        </references>
      </pivotArea>
    </chartFormat>
    <chartFormat chart="22" format="16">
      <pivotArea type="data" outline="0" fieldPosition="0">
        <references count="2">
          <reference field="4294967294" count="1" selected="0">
            <x v="0"/>
          </reference>
          <reference field="0" count="1" selected="0">
            <x v="3"/>
          </reference>
        </references>
      </pivotArea>
    </chartFormat>
    <chartFormat chart="22" format="17">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024EAF-4CF2-4CB6-A1DC-3DC59580FA2E}" name="PivotTable10" cacheId="29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8">
  <location ref="C82:E8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name="Sum of Unit_Price" fld="0" baseField="0" baseItem="0"/>
    <dataField name="Sum of Quantity" fld="1" baseField="0" baseItem="0"/>
  </dataFields>
  <chartFormats count="4">
    <chartFormat chart="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1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E1B238-3680-4C37-9305-9830DDC27363}" name="PivotTable5"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15:B2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Order_Amount" fld="1"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6786B8-8F9D-4CBF-AC88-9A78D31B684A}" name="PivotTable3" cacheId="29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rder_Amount" fld="0"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2484B7-04E2-4077-B450-78EA6506E290}" name="PivotTable9" cacheId="30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C73:F7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Unit_Price" fld="1" baseField="0" baseItem="0"/>
    <dataField name="Sum of Quantity" fld="2" baseField="0" baseItem="0"/>
    <dataField name="Sum of Order_Amount" fld="3" baseField="0" baseItem="0"/>
  </dataFields>
  <chartFormats count="19">
    <chartFormat chart="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0" count="1" selected="0">
            <x v="0"/>
          </reference>
        </references>
      </pivotArea>
    </chartFormat>
    <chartFormat chart="16" format="2">
      <pivotArea type="data" outline="0" fieldPosition="0">
        <references count="2">
          <reference field="4294967294" count="1" selected="0">
            <x v="0"/>
          </reference>
          <reference field="0" count="1" selected="0">
            <x v="1"/>
          </reference>
        </references>
      </pivotArea>
    </chartFormat>
    <chartFormat chart="16" format="3">
      <pivotArea type="data" outline="0" fieldPosition="0">
        <references count="2">
          <reference field="4294967294" count="1" selected="0">
            <x v="0"/>
          </reference>
          <reference field="0" count="1" selected="0">
            <x v="2"/>
          </reference>
        </references>
      </pivotArea>
    </chartFormat>
    <chartFormat chart="16" format="4">
      <pivotArea type="data" outline="0" fieldPosition="0">
        <references count="2">
          <reference field="4294967294" count="1" selected="0">
            <x v="0"/>
          </reference>
          <reference field="0" count="1" selected="0">
            <x v="3"/>
          </reference>
        </references>
      </pivotArea>
    </chartFormat>
    <chartFormat chart="16" format="5">
      <pivotArea type="data" outline="0" fieldPosition="0">
        <references count="2">
          <reference field="4294967294" count="1" selected="0">
            <x v="0"/>
          </reference>
          <reference field="0" count="1" selected="0">
            <x v="4"/>
          </reference>
        </references>
      </pivotArea>
    </chartFormat>
    <chartFormat chart="19" format="1">
      <pivotArea type="data" outline="0" fieldPosition="0">
        <references count="2">
          <reference field="4294967294" count="1" selected="0">
            <x v="0"/>
          </reference>
          <reference field="0" count="1" selected="0">
            <x v="0"/>
          </reference>
        </references>
      </pivotArea>
    </chartFormat>
    <chartFormat chart="19" format="2">
      <pivotArea type="data" outline="0" fieldPosition="0">
        <references count="2">
          <reference field="4294967294" count="1" selected="0">
            <x v="0"/>
          </reference>
          <reference field="0" count="1" selected="0">
            <x v="1"/>
          </reference>
        </references>
      </pivotArea>
    </chartFormat>
    <chartFormat chart="19" format="3">
      <pivotArea type="data" outline="0" fieldPosition="0">
        <references count="2">
          <reference field="4294967294" count="1" selected="0">
            <x v="0"/>
          </reference>
          <reference field="0" count="1" selected="0">
            <x v="2"/>
          </reference>
        </references>
      </pivotArea>
    </chartFormat>
    <chartFormat chart="19" format="4">
      <pivotArea type="data" outline="0" fieldPosition="0">
        <references count="2">
          <reference field="4294967294" count="1" selected="0">
            <x v="0"/>
          </reference>
          <reference field="0" count="1" selected="0">
            <x v="3"/>
          </reference>
        </references>
      </pivotArea>
    </chartFormat>
    <chartFormat chart="19" format="5">
      <pivotArea type="data" outline="0" fieldPosition="0">
        <references count="2">
          <reference field="4294967294" count="1" selected="0">
            <x v="0"/>
          </reference>
          <reference field="0" count="1" selected="0">
            <x v="4"/>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0" count="1" selected="0">
            <x v="0"/>
          </reference>
        </references>
      </pivotArea>
    </chartFormat>
    <chartFormat chart="22" format="14">
      <pivotArea type="data" outline="0" fieldPosition="0">
        <references count="2">
          <reference field="4294967294" count="1" selected="0">
            <x v="0"/>
          </reference>
          <reference field="0" count="1" selected="0">
            <x v="1"/>
          </reference>
        </references>
      </pivotArea>
    </chartFormat>
    <chartFormat chart="22" format="15">
      <pivotArea type="data" outline="0" fieldPosition="0">
        <references count="2">
          <reference field="4294967294" count="1" selected="0">
            <x v="0"/>
          </reference>
          <reference field="0" count="1" selected="0">
            <x v="2"/>
          </reference>
        </references>
      </pivotArea>
    </chartFormat>
    <chartFormat chart="22" format="16">
      <pivotArea type="data" outline="0" fieldPosition="0">
        <references count="2">
          <reference field="4294967294" count="1" selected="0">
            <x v="0"/>
          </reference>
          <reference field="0" count="1" selected="0">
            <x v="3"/>
          </reference>
        </references>
      </pivotArea>
    </chartFormat>
    <chartFormat chart="22" format="17">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501F9A-DE1A-4FA4-A940-B93A3B6B5A8A}" name="PivotTable10" cacheId="29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E7:H13"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Unit_Price" fld="1" baseField="0" baseItem="0"/>
    <dataField name="Quantity" fld="2" baseField="0" baseItem="0"/>
    <dataField name="Order_Amount" fld="3" baseField="0" baseItem="0"/>
  </dataFields>
  <conditionalFormats count="3">
    <conditionalFormat priority="1">
      <pivotAreas count="1">
        <pivotArea type="data" collapsedLevelsAreSubtotals="1" fieldPosition="0">
          <references count="2">
            <reference field="4294967294" count="1" selected="0">
              <x v="2"/>
            </reference>
            <reference field="0" count="5">
              <x v="0"/>
              <x v="1"/>
              <x v="2"/>
              <x v="3"/>
              <x v="4"/>
            </reference>
          </references>
        </pivotArea>
      </pivotAreas>
    </conditionalFormat>
    <conditionalFormat priority="2">
      <pivotAreas count="1">
        <pivotArea type="data" collapsedLevelsAreSubtotals="1" fieldPosition="0">
          <references count="2">
            <reference field="4294967294" count="1" selected="0">
              <x v="1"/>
            </reference>
            <reference field="0" count="5">
              <x v="0"/>
              <x v="1"/>
              <x v="2"/>
              <x v="3"/>
              <x v="4"/>
            </reference>
          </references>
        </pivotArea>
      </pivotAreas>
    </conditionalFormat>
    <conditionalFormat priority="3">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chartFormats count="19">
    <chartFormat chart="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0" count="1" selected="0">
            <x v="0"/>
          </reference>
        </references>
      </pivotArea>
    </chartFormat>
    <chartFormat chart="16" format="2">
      <pivotArea type="data" outline="0" fieldPosition="0">
        <references count="2">
          <reference field="4294967294" count="1" selected="0">
            <x v="0"/>
          </reference>
          <reference field="0" count="1" selected="0">
            <x v="1"/>
          </reference>
        </references>
      </pivotArea>
    </chartFormat>
    <chartFormat chart="16" format="3">
      <pivotArea type="data" outline="0" fieldPosition="0">
        <references count="2">
          <reference field="4294967294" count="1" selected="0">
            <x v="0"/>
          </reference>
          <reference field="0" count="1" selected="0">
            <x v="2"/>
          </reference>
        </references>
      </pivotArea>
    </chartFormat>
    <chartFormat chart="16" format="4">
      <pivotArea type="data" outline="0" fieldPosition="0">
        <references count="2">
          <reference field="4294967294" count="1" selected="0">
            <x v="0"/>
          </reference>
          <reference field="0" count="1" selected="0">
            <x v="3"/>
          </reference>
        </references>
      </pivotArea>
    </chartFormat>
    <chartFormat chart="16" format="5">
      <pivotArea type="data" outline="0" fieldPosition="0">
        <references count="2">
          <reference field="4294967294" count="1" selected="0">
            <x v="0"/>
          </reference>
          <reference field="0" count="1" selected="0">
            <x v="4"/>
          </reference>
        </references>
      </pivotArea>
    </chartFormat>
    <chartFormat chart="19" format="1">
      <pivotArea type="data" outline="0" fieldPosition="0">
        <references count="2">
          <reference field="4294967294" count="1" selected="0">
            <x v="0"/>
          </reference>
          <reference field="0" count="1" selected="0">
            <x v="0"/>
          </reference>
        </references>
      </pivotArea>
    </chartFormat>
    <chartFormat chart="19" format="2">
      <pivotArea type="data" outline="0" fieldPosition="0">
        <references count="2">
          <reference field="4294967294" count="1" selected="0">
            <x v="0"/>
          </reference>
          <reference field="0" count="1" selected="0">
            <x v="1"/>
          </reference>
        </references>
      </pivotArea>
    </chartFormat>
    <chartFormat chart="19" format="3">
      <pivotArea type="data" outline="0" fieldPosition="0">
        <references count="2">
          <reference field="4294967294" count="1" selected="0">
            <x v="0"/>
          </reference>
          <reference field="0" count="1" selected="0">
            <x v="2"/>
          </reference>
        </references>
      </pivotArea>
    </chartFormat>
    <chartFormat chart="19" format="4">
      <pivotArea type="data" outline="0" fieldPosition="0">
        <references count="2">
          <reference field="4294967294" count="1" selected="0">
            <x v="0"/>
          </reference>
          <reference field="0" count="1" selected="0">
            <x v="3"/>
          </reference>
        </references>
      </pivotArea>
    </chartFormat>
    <chartFormat chart="19" format="5">
      <pivotArea type="data" outline="0" fieldPosition="0">
        <references count="2">
          <reference field="4294967294" count="1" selected="0">
            <x v="0"/>
          </reference>
          <reference field="0" count="1" selected="0">
            <x v="4"/>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0" count="1" selected="0">
            <x v="0"/>
          </reference>
        </references>
      </pivotArea>
    </chartFormat>
    <chartFormat chart="22" format="14">
      <pivotArea type="data" outline="0" fieldPosition="0">
        <references count="2">
          <reference field="4294967294" count="1" selected="0">
            <x v="0"/>
          </reference>
          <reference field="0" count="1" selected="0">
            <x v="1"/>
          </reference>
        </references>
      </pivotArea>
    </chartFormat>
    <chartFormat chart="22" format="15">
      <pivotArea type="data" outline="0" fieldPosition="0">
        <references count="2">
          <reference field="4294967294" count="1" selected="0">
            <x v="0"/>
          </reference>
          <reference field="0" count="1" selected="0">
            <x v="2"/>
          </reference>
        </references>
      </pivotArea>
    </chartFormat>
    <chartFormat chart="22" format="16">
      <pivotArea type="data" outline="0" fieldPosition="0">
        <references count="2">
          <reference field="4294967294" count="1" selected="0">
            <x v="0"/>
          </reference>
          <reference field="0" count="1" selected="0">
            <x v="3"/>
          </reference>
        </references>
      </pivotArea>
    </chartFormat>
    <chartFormat chart="22" format="17">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Order_Amount"/>
    <pivotHierarchy dragToData="1" caption="Quantity"/>
    <pivotHierarchy dragToData="1" caption="Unit_Price"/>
  </pivotHierarchies>
  <pivotTableStyleInfo name="PivotStyleLight18"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337998-0CAA-4A41-BCEF-0B3A4D3513D2}" sourceName="[Sales_Orders].[Region]">
  <pivotTables>
    <pivotTable tabId="1" name="PivotTable8"/>
    <pivotTable tabId="2" name="PivotTable10"/>
    <pivotTable tabId="1" name="PivotTable1"/>
    <pivotTable tabId="1" name="PivotTable10"/>
    <pivotTable tabId="1" name="PivotTable2"/>
    <pivotTable tabId="1" name="PivotTable3"/>
    <pivotTable tabId="1" name="PivotTable4"/>
    <pivotTable tabId="1" name="PivotTable6"/>
    <pivotTable tabId="1" name="PivotTable7"/>
    <pivotTable tabId="1" name="PivotTable9"/>
  </pivotTables>
  <data>
    <olap pivotCacheId="12247017">
      <levels count="2">
        <level uniqueName="[Sales_Orders].[Region].[(All)]" sourceCaption="(All)" count="0"/>
        <level uniqueName="[Sales_Orders].[Region].[Region]" sourceCaption="Region" count="5">
          <ranges>
            <range startItem="0">
              <i n="[Sales_Orders].[Region].&amp;" c="(blank)"/>
              <i n="[Sales_Orders].[Region].&amp;[East]" c="East"/>
              <i n="[Sales_Orders].[Region].&amp;[North]" c="North"/>
              <i n="[Sales_Orders].[Region].&amp;[South]" c="South"/>
              <i n="[Sales_Orders].[Region].&amp;[WEST]" c="WEST"/>
            </range>
          </ranges>
        </level>
      </levels>
      <selections count="1">
        <selection n="[Sales_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915B4E9C-C2C4-4D14-BD74-215A1F7B477E}" sourceName="[Sales_Orders].[Sales_Rep]">
  <pivotTables>
    <pivotTable tabId="1" name="PivotTable8"/>
    <pivotTable tabId="2" name="PivotTable10"/>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9"/>
  </pivotTables>
  <data>
    <olap pivotCacheId="12247017">
      <levels count="2">
        <level uniqueName="[Sales_Orders].[Sales_Rep].[(All)]" sourceCaption="(All)" count="0"/>
        <level uniqueName="[Sales_Orders].[Sales_Rep].[Sales_Rep]" sourceCaption="Sales_Rep" count="6">
          <ranges>
            <range startItem="0">
              <i n="[Sales_Orders].[Sales_Rep].&amp;" c="(blank)"/>
              <i n="[Sales_Orders].[Sales_Rep].&amp;[Arun]" c="Arun"/>
              <i n="[Sales_Orders].[Sales_Rep].&amp;[John]" c="John"/>
              <i n="[Sales_Orders].[Sales_Rep].&amp;[Karthik]" c="Karthik"/>
              <i n="[Sales_Orders].[Sales_Rep].&amp;[Meena]" c="Meena"/>
              <i n="[Sales_Orders].[Sales_Rep].&amp;[Priya]" c="Priya"/>
            </range>
          </ranges>
        </level>
      </levels>
      <selections count="1">
        <selection n="[Sales_Orders].[Sales_Re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215BCE-CC9D-4906-A8EC-D6E7B8405CC5}" cache="Slicer_Region" caption="Region" level="1" rowHeight="247650"/>
  <slicer name="Sales_Rep" xr10:uid="{687C32FA-9138-47FC-B8C1-9C84675BDC5C}" cache="Slicer_Sales_Rep" caption="Sales_Rep"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E1459B2-6D5D-42F0-AA9F-7B36AF29FE6C}" cache="Slicer_Region" caption="Region" level="1" style="SlicerStyleDark5" rowHeight="247650"/>
  <slicer name="Sales_Rep 1" xr10:uid="{2C187408-CB1B-46CB-851F-2725E300D85E}" cache="Slicer_Sales_Rep" caption="Sales_Rep" level="1"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2EBC3CF-78E1-4438-9A5E-7BC019AADA27}" sourceName="[Sales_Orders].[Order_Date]">
  <pivotTables>
    <pivotTable tabId="1" name="PivotTable8"/>
    <pivotTable tabId="2" name="PivotTable10"/>
    <pivotTable tabId="1" name="PivotTable1"/>
    <pivotTable tabId="1" name="PivotTable10"/>
    <pivotTable tabId="1" name="PivotTable2"/>
    <pivotTable tabId="1" name="PivotTable3"/>
    <pivotTable tabId="1" name="PivotTable4"/>
    <pivotTable tabId="1" name="PivotTable6"/>
    <pivotTable tabId="1" name="PivotTable7"/>
    <pivotTable tabId="1" name="PivotTable9"/>
  </pivotTables>
  <state minimalRefreshVersion="6" lastRefreshVersion="6" pivotCacheId="843477582"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0200654-8700-43D2-A94F-79E5D134771C}" cache="Timeline_Order_Date" caption="Order_Date" level="2" selectionLevel="2" scrollPosition="2024-06-2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5A9A05BF-40D9-4154-941F-F89B9BBCE7C3}" cache="Timeline_Order_Date" caption="Order_Date" level="2" selectionLevel="2" scrollPosition="2024-10-01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1.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DBB5-5FAE-42C9-9204-FF1C7567357B}">
  <dimension ref="A1:F429"/>
  <sheetViews>
    <sheetView topLeftCell="A60" zoomScale="82" workbookViewId="0">
      <selection activeCell="G83" sqref="G83"/>
    </sheetView>
  </sheetViews>
  <sheetFormatPr defaultRowHeight="14.4" x14ac:dyDescent="0.3"/>
  <cols>
    <col min="1" max="1" width="13.21875" bestFit="1" customWidth="1"/>
    <col min="2" max="2" width="16.109375" bestFit="1" customWidth="1"/>
    <col min="3" max="3" width="13.21875" bestFit="1" customWidth="1"/>
    <col min="4" max="4" width="16.109375" bestFit="1" customWidth="1"/>
    <col min="5" max="5" width="14.77734375" bestFit="1" customWidth="1"/>
    <col min="6" max="6" width="19.88671875" bestFit="1" customWidth="1"/>
    <col min="7" max="7" width="11" bestFit="1" customWidth="1"/>
    <col min="8" max="8" width="10" bestFit="1" customWidth="1"/>
    <col min="9" max="13" width="11" bestFit="1" customWidth="1"/>
    <col min="14" max="14" width="12" bestFit="1" customWidth="1"/>
    <col min="15" max="1201" width="10.33203125" bestFit="1" customWidth="1"/>
    <col min="1202" max="1202" width="12" bestFit="1" customWidth="1"/>
  </cols>
  <sheetData>
    <row r="1" spans="1:2" x14ac:dyDescent="0.3">
      <c r="A1" t="s">
        <v>0</v>
      </c>
    </row>
    <row r="2" spans="1:2" x14ac:dyDescent="0.3">
      <c r="A2">
        <v>1200</v>
      </c>
    </row>
    <row r="6" spans="1:2" x14ac:dyDescent="0.3">
      <c r="A6" t="s">
        <v>1</v>
      </c>
    </row>
    <row r="7" spans="1:2" x14ac:dyDescent="0.3">
      <c r="A7">
        <v>1028</v>
      </c>
    </row>
    <row r="9" spans="1:2" x14ac:dyDescent="0.3">
      <c r="A9" t="s">
        <v>4</v>
      </c>
    </row>
    <row r="10" spans="1:2" x14ac:dyDescent="0.3">
      <c r="A10">
        <v>30249850.620000001</v>
      </c>
    </row>
    <row r="12" spans="1:2" x14ac:dyDescent="0.3">
      <c r="A12" t="s">
        <v>5</v>
      </c>
    </row>
    <row r="13" spans="1:2" x14ac:dyDescent="0.3">
      <c r="A13">
        <v>2595</v>
      </c>
    </row>
    <row r="15" spans="1:2" x14ac:dyDescent="0.3">
      <c r="A15" s="3" t="s">
        <v>19</v>
      </c>
      <c r="B15" t="s">
        <v>4</v>
      </c>
    </row>
    <row r="16" spans="1:2" x14ac:dyDescent="0.3">
      <c r="A16" s="5" t="s">
        <v>7</v>
      </c>
      <c r="B16">
        <v>3175687.57</v>
      </c>
    </row>
    <row r="17" spans="1:3" x14ac:dyDescent="0.3">
      <c r="A17" s="5" t="s">
        <v>8</v>
      </c>
      <c r="B17">
        <v>3055016.8</v>
      </c>
    </row>
    <row r="18" spans="1:3" x14ac:dyDescent="0.3">
      <c r="A18" s="5" t="s">
        <v>9</v>
      </c>
      <c r="B18">
        <v>3273109.1</v>
      </c>
    </row>
    <row r="19" spans="1:3" x14ac:dyDescent="0.3">
      <c r="A19" s="5" t="s">
        <v>10</v>
      </c>
      <c r="B19">
        <v>2548472.75</v>
      </c>
    </row>
    <row r="20" spans="1:3" x14ac:dyDescent="0.3">
      <c r="A20" s="5" t="s">
        <v>11</v>
      </c>
      <c r="B20">
        <v>2286388.4500000002</v>
      </c>
    </row>
    <row r="21" spans="1:3" x14ac:dyDescent="0.3">
      <c r="A21" s="5" t="s">
        <v>12</v>
      </c>
      <c r="B21">
        <v>2221640.59</v>
      </c>
    </row>
    <row r="22" spans="1:3" x14ac:dyDescent="0.3">
      <c r="A22" s="5" t="s">
        <v>13</v>
      </c>
      <c r="B22">
        <v>2383052.7999999998</v>
      </c>
    </row>
    <row r="23" spans="1:3" x14ac:dyDescent="0.3">
      <c r="A23" s="5" t="s">
        <v>14</v>
      </c>
      <c r="B23">
        <v>2143820.87</v>
      </c>
    </row>
    <row r="24" spans="1:3" x14ac:dyDescent="0.3">
      <c r="A24" s="5" t="s">
        <v>15</v>
      </c>
      <c r="B24">
        <v>2336345.14</v>
      </c>
    </row>
    <row r="25" spans="1:3" x14ac:dyDescent="0.3">
      <c r="A25" s="5" t="s">
        <v>16</v>
      </c>
      <c r="B25">
        <v>2245615.4500000002</v>
      </c>
    </row>
    <row r="26" spans="1:3" x14ac:dyDescent="0.3">
      <c r="A26" s="5" t="s">
        <v>17</v>
      </c>
      <c r="B26">
        <v>2325066.86</v>
      </c>
    </row>
    <row r="27" spans="1:3" x14ac:dyDescent="0.3">
      <c r="A27" s="5" t="s">
        <v>18</v>
      </c>
      <c r="B27">
        <v>2255634.2400000002</v>
      </c>
    </row>
    <row r="28" spans="1:3" x14ac:dyDescent="0.3">
      <c r="A28" s="5" t="s">
        <v>6</v>
      </c>
      <c r="B28">
        <v>30249850.620000001</v>
      </c>
    </row>
    <row r="31" spans="1:3" x14ac:dyDescent="0.3">
      <c r="A31" s="3" t="s">
        <v>19</v>
      </c>
      <c r="B31" t="s">
        <v>4</v>
      </c>
      <c r="C31" t="s">
        <v>25</v>
      </c>
    </row>
    <row r="32" spans="1:3" x14ac:dyDescent="0.3">
      <c r="A32" s="5" t="s">
        <v>21</v>
      </c>
      <c r="B32">
        <v>3928722.14</v>
      </c>
      <c r="C32">
        <v>9027026.9000000004</v>
      </c>
    </row>
    <row r="33" spans="1:3" x14ac:dyDescent="0.3">
      <c r="A33" s="5" t="s">
        <v>23</v>
      </c>
      <c r="B33">
        <v>3987731.86</v>
      </c>
      <c r="C33">
        <v>9027026.9000000004</v>
      </c>
    </row>
    <row r="34" spans="1:3" x14ac:dyDescent="0.3">
      <c r="A34" s="5" t="s">
        <v>20</v>
      </c>
      <c r="B34">
        <v>4640312.08</v>
      </c>
      <c r="C34">
        <v>9027026.9000000004</v>
      </c>
    </row>
    <row r="35" spans="1:3" x14ac:dyDescent="0.3">
      <c r="A35" s="5" t="s">
        <v>22</v>
      </c>
      <c r="B35">
        <v>8373432.9199999999</v>
      </c>
      <c r="C35">
        <v>9027026.9000000004</v>
      </c>
    </row>
    <row r="36" spans="1:3" x14ac:dyDescent="0.3">
      <c r="A36" s="5" t="s">
        <v>24</v>
      </c>
      <c r="B36">
        <v>9319651.6199999992</v>
      </c>
      <c r="C36">
        <v>9027026.9000000004</v>
      </c>
    </row>
    <row r="37" spans="1:3" x14ac:dyDescent="0.3">
      <c r="A37" s="5" t="s">
        <v>6</v>
      </c>
      <c r="B37">
        <v>30249850.620000001</v>
      </c>
      <c r="C37">
        <v>9027026.9000000004</v>
      </c>
    </row>
    <row r="45" spans="1:3" x14ac:dyDescent="0.3">
      <c r="A45" s="3" t="s">
        <v>19</v>
      </c>
      <c r="B45" t="s">
        <v>25</v>
      </c>
    </row>
    <row r="46" spans="1:3" x14ac:dyDescent="0.3">
      <c r="A46" s="5" t="s">
        <v>20</v>
      </c>
      <c r="B46">
        <v>9027026.9000000004</v>
      </c>
    </row>
    <row r="47" spans="1:3" x14ac:dyDescent="0.3">
      <c r="A47" s="5" t="s">
        <v>21</v>
      </c>
      <c r="B47">
        <v>9027026.9000000004</v>
      </c>
    </row>
    <row r="48" spans="1:3" x14ac:dyDescent="0.3">
      <c r="A48" s="5" t="s">
        <v>22</v>
      </c>
      <c r="B48">
        <v>9027026.9000000004</v>
      </c>
    </row>
    <row r="49" spans="1:2" x14ac:dyDescent="0.3">
      <c r="A49" s="5" t="s">
        <v>23</v>
      </c>
      <c r="B49">
        <v>9027026.9000000004</v>
      </c>
    </row>
    <row r="50" spans="1:2" x14ac:dyDescent="0.3">
      <c r="A50" s="5" t="s">
        <v>24</v>
      </c>
      <c r="B50">
        <v>9027026.9000000004</v>
      </c>
    </row>
    <row r="51" spans="1:2" x14ac:dyDescent="0.3">
      <c r="A51" s="5" t="s">
        <v>6</v>
      </c>
      <c r="B51">
        <v>9027026.9000000004</v>
      </c>
    </row>
    <row r="56" spans="1:2" x14ac:dyDescent="0.3">
      <c r="A56" s="3" t="s">
        <v>19</v>
      </c>
    </row>
    <row r="57" spans="1:2" x14ac:dyDescent="0.3">
      <c r="A57" s="5" t="s">
        <v>20</v>
      </c>
    </row>
    <row r="58" spans="1:2" x14ac:dyDescent="0.3">
      <c r="A58" s="6" t="s">
        <v>20</v>
      </c>
    </row>
    <row r="59" spans="1:2" x14ac:dyDescent="0.3">
      <c r="A59" s="7" t="s">
        <v>7</v>
      </c>
    </row>
    <row r="60" spans="1:2" x14ac:dyDescent="0.3">
      <c r="A60" s="7" t="s">
        <v>8</v>
      </c>
    </row>
    <row r="61" spans="1:2" x14ac:dyDescent="0.3">
      <c r="A61" s="7" t="s">
        <v>9</v>
      </c>
    </row>
    <row r="62" spans="1:2" x14ac:dyDescent="0.3">
      <c r="A62" s="7" t="s">
        <v>11</v>
      </c>
    </row>
    <row r="63" spans="1:2" x14ac:dyDescent="0.3">
      <c r="A63" s="7" t="s">
        <v>12</v>
      </c>
    </row>
    <row r="64" spans="1:2" x14ac:dyDescent="0.3">
      <c r="A64" s="7" t="s">
        <v>13</v>
      </c>
    </row>
    <row r="65" spans="1:6" x14ac:dyDescent="0.3">
      <c r="A65" s="7" t="s">
        <v>14</v>
      </c>
    </row>
    <row r="66" spans="1:6" x14ac:dyDescent="0.3">
      <c r="A66" s="7" t="s">
        <v>15</v>
      </c>
    </row>
    <row r="67" spans="1:6" x14ac:dyDescent="0.3">
      <c r="A67" s="7" t="s">
        <v>17</v>
      </c>
    </row>
    <row r="68" spans="1:6" x14ac:dyDescent="0.3">
      <c r="A68" s="7" t="s">
        <v>18</v>
      </c>
    </row>
    <row r="69" spans="1:6" x14ac:dyDescent="0.3">
      <c r="A69" s="6" t="s">
        <v>26</v>
      </c>
    </row>
    <row r="70" spans="1:6" x14ac:dyDescent="0.3">
      <c r="A70" s="7" t="s">
        <v>7</v>
      </c>
    </row>
    <row r="71" spans="1:6" x14ac:dyDescent="0.3">
      <c r="A71" s="7" t="s">
        <v>8</v>
      </c>
    </row>
    <row r="72" spans="1:6" x14ac:dyDescent="0.3">
      <c r="A72" s="7" t="s">
        <v>9</v>
      </c>
    </row>
    <row r="73" spans="1:6" x14ac:dyDescent="0.3">
      <c r="A73" s="7" t="s">
        <v>10</v>
      </c>
      <c r="C73" s="3" t="s">
        <v>19</v>
      </c>
      <c r="D73" t="s">
        <v>25</v>
      </c>
      <c r="E73" t="s">
        <v>5</v>
      </c>
      <c r="F73" t="s">
        <v>4</v>
      </c>
    </row>
    <row r="74" spans="1:6" x14ac:dyDescent="0.3">
      <c r="A74" s="7" t="s">
        <v>11</v>
      </c>
      <c r="C74" s="5" t="s">
        <v>20</v>
      </c>
      <c r="D74">
        <v>9027026.9000000004</v>
      </c>
      <c r="E74">
        <v>2595</v>
      </c>
      <c r="F74">
        <v>4640312.08</v>
      </c>
    </row>
    <row r="75" spans="1:6" x14ac:dyDescent="0.3">
      <c r="A75" s="7" t="s">
        <v>12</v>
      </c>
      <c r="C75" s="5" t="s">
        <v>21</v>
      </c>
      <c r="D75">
        <v>9027026.9000000004</v>
      </c>
      <c r="E75">
        <v>2595</v>
      </c>
      <c r="F75">
        <v>3928722.14</v>
      </c>
    </row>
    <row r="76" spans="1:6" x14ac:dyDescent="0.3">
      <c r="A76" s="7" t="s">
        <v>13</v>
      </c>
      <c r="C76" s="5" t="s">
        <v>22</v>
      </c>
      <c r="D76">
        <v>9027026.9000000004</v>
      </c>
      <c r="E76">
        <v>2595</v>
      </c>
      <c r="F76">
        <v>8373432.9199999999</v>
      </c>
    </row>
    <row r="77" spans="1:6" x14ac:dyDescent="0.3">
      <c r="A77" s="7" t="s">
        <v>14</v>
      </c>
      <c r="C77" s="5" t="s">
        <v>23</v>
      </c>
      <c r="D77">
        <v>9027026.9000000004</v>
      </c>
      <c r="E77">
        <v>2595</v>
      </c>
      <c r="F77">
        <v>3987731.86</v>
      </c>
    </row>
    <row r="78" spans="1:6" x14ac:dyDescent="0.3">
      <c r="A78" s="7" t="s">
        <v>15</v>
      </c>
      <c r="C78" s="5" t="s">
        <v>24</v>
      </c>
      <c r="D78">
        <v>9027026.9000000004</v>
      </c>
      <c r="E78">
        <v>2595</v>
      </c>
      <c r="F78">
        <v>9319651.6199999992</v>
      </c>
    </row>
    <row r="79" spans="1:6" x14ac:dyDescent="0.3">
      <c r="A79" s="7" t="s">
        <v>16</v>
      </c>
      <c r="C79" s="5" t="s">
        <v>6</v>
      </c>
      <c r="D79">
        <v>9027026.9000000004</v>
      </c>
      <c r="E79">
        <v>2595</v>
      </c>
      <c r="F79">
        <v>30249850.620000001</v>
      </c>
    </row>
    <row r="80" spans="1:6" x14ac:dyDescent="0.3">
      <c r="A80" s="7" t="s">
        <v>17</v>
      </c>
    </row>
    <row r="81" spans="1:5" x14ac:dyDescent="0.3">
      <c r="A81" s="7" t="s">
        <v>18</v>
      </c>
    </row>
    <row r="82" spans="1:5" x14ac:dyDescent="0.3">
      <c r="A82" s="6" t="s">
        <v>27</v>
      </c>
      <c r="C82" s="3" t="s">
        <v>19</v>
      </c>
      <c r="D82" t="s">
        <v>25</v>
      </c>
      <c r="E82" t="s">
        <v>5</v>
      </c>
    </row>
    <row r="83" spans="1:5" x14ac:dyDescent="0.3">
      <c r="A83" s="7" t="s">
        <v>7</v>
      </c>
      <c r="C83" s="5" t="s">
        <v>20</v>
      </c>
      <c r="D83">
        <v>9027026.9000000004</v>
      </c>
      <c r="E83">
        <v>2595</v>
      </c>
    </row>
    <row r="84" spans="1:5" x14ac:dyDescent="0.3">
      <c r="A84" s="7" t="s">
        <v>8</v>
      </c>
      <c r="C84" s="5" t="s">
        <v>26</v>
      </c>
      <c r="D84">
        <v>9027026.9000000004</v>
      </c>
      <c r="E84">
        <v>2595</v>
      </c>
    </row>
    <row r="85" spans="1:5" x14ac:dyDescent="0.3">
      <c r="A85" s="7" t="s">
        <v>9</v>
      </c>
      <c r="C85" s="5" t="s">
        <v>27</v>
      </c>
      <c r="D85">
        <v>9027026.9000000004</v>
      </c>
      <c r="E85">
        <v>2595</v>
      </c>
    </row>
    <row r="86" spans="1:5" x14ac:dyDescent="0.3">
      <c r="A86" s="7" t="s">
        <v>10</v>
      </c>
      <c r="C86" s="5" t="s">
        <v>28</v>
      </c>
      <c r="D86">
        <v>9027026.9000000004</v>
      </c>
      <c r="E86">
        <v>2595</v>
      </c>
    </row>
    <row r="87" spans="1:5" x14ac:dyDescent="0.3">
      <c r="A87" s="7" t="s">
        <v>11</v>
      </c>
      <c r="C87" s="5" t="s">
        <v>29</v>
      </c>
      <c r="D87">
        <v>9027026.9000000004</v>
      </c>
      <c r="E87">
        <v>2595</v>
      </c>
    </row>
    <row r="88" spans="1:5" x14ac:dyDescent="0.3">
      <c r="A88" s="7" t="s">
        <v>12</v>
      </c>
      <c r="C88" s="5" t="s">
        <v>30</v>
      </c>
      <c r="D88">
        <v>9027026.9000000004</v>
      </c>
      <c r="E88">
        <v>2595</v>
      </c>
    </row>
    <row r="89" spans="1:5" x14ac:dyDescent="0.3">
      <c r="A89" s="7" t="s">
        <v>13</v>
      </c>
      <c r="C89" s="5" t="s">
        <v>6</v>
      </c>
      <c r="D89">
        <v>9027026.9000000004</v>
      </c>
      <c r="E89">
        <v>2595</v>
      </c>
    </row>
    <row r="90" spans="1:5" x14ac:dyDescent="0.3">
      <c r="A90" s="7" t="s">
        <v>14</v>
      </c>
    </row>
    <row r="91" spans="1:5" x14ac:dyDescent="0.3">
      <c r="A91" s="7" t="s">
        <v>15</v>
      </c>
    </row>
    <row r="92" spans="1:5" x14ac:dyDescent="0.3">
      <c r="A92" s="7" t="s">
        <v>16</v>
      </c>
    </row>
    <row r="93" spans="1:5" x14ac:dyDescent="0.3">
      <c r="A93" s="7" t="s">
        <v>17</v>
      </c>
    </row>
    <row r="94" spans="1:5" x14ac:dyDescent="0.3">
      <c r="A94" s="7" t="s">
        <v>18</v>
      </c>
    </row>
    <row r="95" spans="1:5" x14ac:dyDescent="0.3">
      <c r="A95" s="6" t="s">
        <v>28</v>
      </c>
    </row>
    <row r="96" spans="1:5" x14ac:dyDescent="0.3">
      <c r="A96" s="7" t="s">
        <v>7</v>
      </c>
    </row>
    <row r="97" spans="1:1" x14ac:dyDescent="0.3">
      <c r="A97" s="7" t="s">
        <v>8</v>
      </c>
    </row>
    <row r="98" spans="1:1" x14ac:dyDescent="0.3">
      <c r="A98" s="7" t="s">
        <v>9</v>
      </c>
    </row>
    <row r="99" spans="1:1" x14ac:dyDescent="0.3">
      <c r="A99" s="7" t="s">
        <v>10</v>
      </c>
    </row>
    <row r="100" spans="1:1" x14ac:dyDescent="0.3">
      <c r="A100" s="7" t="s">
        <v>11</v>
      </c>
    </row>
    <row r="101" spans="1:1" x14ac:dyDescent="0.3">
      <c r="A101" s="7" t="s">
        <v>12</v>
      </c>
    </row>
    <row r="102" spans="1:1" x14ac:dyDescent="0.3">
      <c r="A102" s="7" t="s">
        <v>13</v>
      </c>
    </row>
    <row r="103" spans="1:1" x14ac:dyDescent="0.3">
      <c r="A103" s="7" t="s">
        <v>16</v>
      </c>
    </row>
    <row r="104" spans="1:1" x14ac:dyDescent="0.3">
      <c r="A104" s="7" t="s">
        <v>17</v>
      </c>
    </row>
    <row r="105" spans="1:1" x14ac:dyDescent="0.3">
      <c r="A105" s="7" t="s">
        <v>18</v>
      </c>
    </row>
    <row r="106" spans="1:1" x14ac:dyDescent="0.3">
      <c r="A106" s="6" t="s">
        <v>29</v>
      </c>
    </row>
    <row r="107" spans="1:1" x14ac:dyDescent="0.3">
      <c r="A107" s="7" t="s">
        <v>7</v>
      </c>
    </row>
    <row r="108" spans="1:1" x14ac:dyDescent="0.3">
      <c r="A108" s="7" t="s">
        <v>8</v>
      </c>
    </row>
    <row r="109" spans="1:1" x14ac:dyDescent="0.3">
      <c r="A109" s="7" t="s">
        <v>9</v>
      </c>
    </row>
    <row r="110" spans="1:1" x14ac:dyDescent="0.3">
      <c r="A110" s="7" t="s">
        <v>10</v>
      </c>
    </row>
    <row r="111" spans="1:1" x14ac:dyDescent="0.3">
      <c r="A111" s="7" t="s">
        <v>11</v>
      </c>
    </row>
    <row r="112" spans="1:1" x14ac:dyDescent="0.3">
      <c r="A112" s="7" t="s">
        <v>12</v>
      </c>
    </row>
    <row r="113" spans="1:1" x14ac:dyDescent="0.3">
      <c r="A113" s="7" t="s">
        <v>13</v>
      </c>
    </row>
    <row r="114" spans="1:1" x14ac:dyDescent="0.3">
      <c r="A114" s="7" t="s">
        <v>14</v>
      </c>
    </row>
    <row r="115" spans="1:1" x14ac:dyDescent="0.3">
      <c r="A115" s="7" t="s">
        <v>15</v>
      </c>
    </row>
    <row r="116" spans="1:1" x14ac:dyDescent="0.3">
      <c r="A116" s="7" t="s">
        <v>17</v>
      </c>
    </row>
    <row r="117" spans="1:1" x14ac:dyDescent="0.3">
      <c r="A117" s="7" t="s">
        <v>18</v>
      </c>
    </row>
    <row r="118" spans="1:1" x14ac:dyDescent="0.3">
      <c r="A118" s="6" t="s">
        <v>30</v>
      </c>
    </row>
    <row r="119" spans="1:1" x14ac:dyDescent="0.3">
      <c r="A119" s="7" t="s">
        <v>7</v>
      </c>
    </row>
    <row r="120" spans="1:1" x14ac:dyDescent="0.3">
      <c r="A120" s="7" t="s">
        <v>8</v>
      </c>
    </row>
    <row r="121" spans="1:1" x14ac:dyDescent="0.3">
      <c r="A121" s="7" t="s">
        <v>10</v>
      </c>
    </row>
    <row r="122" spans="1:1" x14ac:dyDescent="0.3">
      <c r="A122" s="7" t="s">
        <v>11</v>
      </c>
    </row>
    <row r="123" spans="1:1" x14ac:dyDescent="0.3">
      <c r="A123" s="7" t="s">
        <v>12</v>
      </c>
    </row>
    <row r="124" spans="1:1" x14ac:dyDescent="0.3">
      <c r="A124" s="7" t="s">
        <v>13</v>
      </c>
    </row>
    <row r="125" spans="1:1" x14ac:dyDescent="0.3">
      <c r="A125" s="7" t="s">
        <v>14</v>
      </c>
    </row>
    <row r="126" spans="1:1" x14ac:dyDescent="0.3">
      <c r="A126" s="7" t="s">
        <v>15</v>
      </c>
    </row>
    <row r="127" spans="1:1" x14ac:dyDescent="0.3">
      <c r="A127" s="7" t="s">
        <v>16</v>
      </c>
    </row>
    <row r="128" spans="1:1" x14ac:dyDescent="0.3">
      <c r="A128" s="7" t="s">
        <v>17</v>
      </c>
    </row>
    <row r="129" spans="1:1" x14ac:dyDescent="0.3">
      <c r="A129" s="7" t="s">
        <v>18</v>
      </c>
    </row>
    <row r="130" spans="1:1" x14ac:dyDescent="0.3">
      <c r="A130" s="5" t="s">
        <v>21</v>
      </c>
    </row>
    <row r="131" spans="1:1" x14ac:dyDescent="0.3">
      <c r="A131" s="6" t="s">
        <v>20</v>
      </c>
    </row>
    <row r="132" spans="1:1" x14ac:dyDescent="0.3">
      <c r="A132" s="7" t="s">
        <v>7</v>
      </c>
    </row>
    <row r="133" spans="1:1" x14ac:dyDescent="0.3">
      <c r="A133" s="7" t="s">
        <v>8</v>
      </c>
    </row>
    <row r="134" spans="1:1" x14ac:dyDescent="0.3">
      <c r="A134" s="7" t="s">
        <v>9</v>
      </c>
    </row>
    <row r="135" spans="1:1" x14ac:dyDescent="0.3">
      <c r="A135" s="7" t="s">
        <v>10</v>
      </c>
    </row>
    <row r="136" spans="1:1" x14ac:dyDescent="0.3">
      <c r="A136" s="7" t="s">
        <v>11</v>
      </c>
    </row>
    <row r="137" spans="1:1" x14ac:dyDescent="0.3">
      <c r="A137" s="7" t="s">
        <v>12</v>
      </c>
    </row>
    <row r="138" spans="1:1" x14ac:dyDescent="0.3">
      <c r="A138" s="7" t="s">
        <v>14</v>
      </c>
    </row>
    <row r="139" spans="1:1" x14ac:dyDescent="0.3">
      <c r="A139" s="7" t="s">
        <v>15</v>
      </c>
    </row>
    <row r="140" spans="1:1" x14ac:dyDescent="0.3">
      <c r="A140" s="7" t="s">
        <v>17</v>
      </c>
    </row>
    <row r="141" spans="1:1" x14ac:dyDescent="0.3">
      <c r="A141" s="7" t="s">
        <v>18</v>
      </c>
    </row>
    <row r="142" spans="1:1" x14ac:dyDescent="0.3">
      <c r="A142" s="6" t="s">
        <v>26</v>
      </c>
    </row>
    <row r="143" spans="1:1" x14ac:dyDescent="0.3">
      <c r="A143" s="7" t="s">
        <v>7</v>
      </c>
    </row>
    <row r="144" spans="1:1" x14ac:dyDescent="0.3">
      <c r="A144" s="7" t="s">
        <v>8</v>
      </c>
    </row>
    <row r="145" spans="1:1" x14ac:dyDescent="0.3">
      <c r="A145" s="7" t="s">
        <v>9</v>
      </c>
    </row>
    <row r="146" spans="1:1" x14ac:dyDescent="0.3">
      <c r="A146" s="7" t="s">
        <v>10</v>
      </c>
    </row>
    <row r="147" spans="1:1" x14ac:dyDescent="0.3">
      <c r="A147" s="7" t="s">
        <v>12</v>
      </c>
    </row>
    <row r="148" spans="1:1" x14ac:dyDescent="0.3">
      <c r="A148" s="7" t="s">
        <v>13</v>
      </c>
    </row>
    <row r="149" spans="1:1" x14ac:dyDescent="0.3">
      <c r="A149" s="7" t="s">
        <v>14</v>
      </c>
    </row>
    <row r="150" spans="1:1" x14ac:dyDescent="0.3">
      <c r="A150" s="7" t="s">
        <v>15</v>
      </c>
    </row>
    <row r="151" spans="1:1" x14ac:dyDescent="0.3">
      <c r="A151" s="7" t="s">
        <v>16</v>
      </c>
    </row>
    <row r="152" spans="1:1" x14ac:dyDescent="0.3">
      <c r="A152" s="7" t="s">
        <v>17</v>
      </c>
    </row>
    <row r="153" spans="1:1" x14ac:dyDescent="0.3">
      <c r="A153" s="7" t="s">
        <v>18</v>
      </c>
    </row>
    <row r="154" spans="1:1" x14ac:dyDescent="0.3">
      <c r="A154" s="6" t="s">
        <v>27</v>
      </c>
    </row>
    <row r="155" spans="1:1" x14ac:dyDescent="0.3">
      <c r="A155" s="7" t="s">
        <v>7</v>
      </c>
    </row>
    <row r="156" spans="1:1" x14ac:dyDescent="0.3">
      <c r="A156" s="7" t="s">
        <v>8</v>
      </c>
    </row>
    <row r="157" spans="1:1" x14ac:dyDescent="0.3">
      <c r="A157" s="7" t="s">
        <v>9</v>
      </c>
    </row>
    <row r="158" spans="1:1" x14ac:dyDescent="0.3">
      <c r="A158" s="7" t="s">
        <v>10</v>
      </c>
    </row>
    <row r="159" spans="1:1" x14ac:dyDescent="0.3">
      <c r="A159" s="7" t="s">
        <v>11</v>
      </c>
    </row>
    <row r="160" spans="1:1" x14ac:dyDescent="0.3">
      <c r="A160" s="7" t="s">
        <v>12</v>
      </c>
    </row>
    <row r="161" spans="1:1" x14ac:dyDescent="0.3">
      <c r="A161" s="7" t="s">
        <v>13</v>
      </c>
    </row>
    <row r="162" spans="1:1" x14ac:dyDescent="0.3">
      <c r="A162" s="7" t="s">
        <v>14</v>
      </c>
    </row>
    <row r="163" spans="1:1" x14ac:dyDescent="0.3">
      <c r="A163" s="7" t="s">
        <v>15</v>
      </c>
    </row>
    <row r="164" spans="1:1" x14ac:dyDescent="0.3">
      <c r="A164" s="7" t="s">
        <v>16</v>
      </c>
    </row>
    <row r="165" spans="1:1" x14ac:dyDescent="0.3">
      <c r="A165" s="6" t="s">
        <v>28</v>
      </c>
    </row>
    <row r="166" spans="1:1" x14ac:dyDescent="0.3">
      <c r="A166" s="7" t="s">
        <v>7</v>
      </c>
    </row>
    <row r="167" spans="1:1" x14ac:dyDescent="0.3">
      <c r="A167" s="7" t="s">
        <v>8</v>
      </c>
    </row>
    <row r="168" spans="1:1" x14ac:dyDescent="0.3">
      <c r="A168" s="7" t="s">
        <v>9</v>
      </c>
    </row>
    <row r="169" spans="1:1" x14ac:dyDescent="0.3">
      <c r="A169" s="7" t="s">
        <v>11</v>
      </c>
    </row>
    <row r="170" spans="1:1" x14ac:dyDescent="0.3">
      <c r="A170" s="7" t="s">
        <v>12</v>
      </c>
    </row>
    <row r="171" spans="1:1" x14ac:dyDescent="0.3">
      <c r="A171" s="7" t="s">
        <v>13</v>
      </c>
    </row>
    <row r="172" spans="1:1" x14ac:dyDescent="0.3">
      <c r="A172" s="7" t="s">
        <v>14</v>
      </c>
    </row>
    <row r="173" spans="1:1" x14ac:dyDescent="0.3">
      <c r="A173" s="7" t="s">
        <v>15</v>
      </c>
    </row>
    <row r="174" spans="1:1" x14ac:dyDescent="0.3">
      <c r="A174" s="7" t="s">
        <v>17</v>
      </c>
    </row>
    <row r="175" spans="1:1" x14ac:dyDescent="0.3">
      <c r="A175" s="7" t="s">
        <v>18</v>
      </c>
    </row>
    <row r="176" spans="1:1" x14ac:dyDescent="0.3">
      <c r="A176" s="6" t="s">
        <v>29</v>
      </c>
    </row>
    <row r="177" spans="1:1" x14ac:dyDescent="0.3">
      <c r="A177" s="7" t="s">
        <v>7</v>
      </c>
    </row>
    <row r="178" spans="1:1" x14ac:dyDescent="0.3">
      <c r="A178" s="7" t="s">
        <v>8</v>
      </c>
    </row>
    <row r="179" spans="1:1" x14ac:dyDescent="0.3">
      <c r="A179" s="7" t="s">
        <v>9</v>
      </c>
    </row>
    <row r="180" spans="1:1" x14ac:dyDescent="0.3">
      <c r="A180" s="7" t="s">
        <v>10</v>
      </c>
    </row>
    <row r="181" spans="1:1" x14ac:dyDescent="0.3">
      <c r="A181" s="7" t="s">
        <v>11</v>
      </c>
    </row>
    <row r="182" spans="1:1" x14ac:dyDescent="0.3">
      <c r="A182" s="7" t="s">
        <v>12</v>
      </c>
    </row>
    <row r="183" spans="1:1" x14ac:dyDescent="0.3">
      <c r="A183" s="7" t="s">
        <v>13</v>
      </c>
    </row>
    <row r="184" spans="1:1" x14ac:dyDescent="0.3">
      <c r="A184" s="7" t="s">
        <v>14</v>
      </c>
    </row>
    <row r="185" spans="1:1" x14ac:dyDescent="0.3">
      <c r="A185" s="7" t="s">
        <v>15</v>
      </c>
    </row>
    <row r="186" spans="1:1" x14ac:dyDescent="0.3">
      <c r="A186" s="7" t="s">
        <v>16</v>
      </c>
    </row>
    <row r="187" spans="1:1" x14ac:dyDescent="0.3">
      <c r="A187" s="7" t="s">
        <v>17</v>
      </c>
    </row>
    <row r="188" spans="1:1" x14ac:dyDescent="0.3">
      <c r="A188" s="6" t="s">
        <v>30</v>
      </c>
    </row>
    <row r="189" spans="1:1" x14ac:dyDescent="0.3">
      <c r="A189" s="7" t="s">
        <v>7</v>
      </c>
    </row>
    <row r="190" spans="1:1" x14ac:dyDescent="0.3">
      <c r="A190" s="7" t="s">
        <v>8</v>
      </c>
    </row>
    <row r="191" spans="1:1" x14ac:dyDescent="0.3">
      <c r="A191" s="7" t="s">
        <v>10</v>
      </c>
    </row>
    <row r="192" spans="1:1" x14ac:dyDescent="0.3">
      <c r="A192" s="7" t="s">
        <v>12</v>
      </c>
    </row>
    <row r="193" spans="1:1" x14ac:dyDescent="0.3">
      <c r="A193" s="7" t="s">
        <v>13</v>
      </c>
    </row>
    <row r="194" spans="1:1" x14ac:dyDescent="0.3">
      <c r="A194" s="7" t="s">
        <v>14</v>
      </c>
    </row>
    <row r="195" spans="1:1" x14ac:dyDescent="0.3">
      <c r="A195" s="7" t="s">
        <v>15</v>
      </c>
    </row>
    <row r="196" spans="1:1" x14ac:dyDescent="0.3">
      <c r="A196" s="7" t="s">
        <v>16</v>
      </c>
    </row>
    <row r="197" spans="1:1" x14ac:dyDescent="0.3">
      <c r="A197" s="7" t="s">
        <v>17</v>
      </c>
    </row>
    <row r="198" spans="1:1" x14ac:dyDescent="0.3">
      <c r="A198" s="7" t="s">
        <v>18</v>
      </c>
    </row>
    <row r="199" spans="1:1" x14ac:dyDescent="0.3">
      <c r="A199" s="5" t="s">
        <v>22</v>
      </c>
    </row>
    <row r="200" spans="1:1" x14ac:dyDescent="0.3">
      <c r="A200" s="6" t="s">
        <v>20</v>
      </c>
    </row>
    <row r="201" spans="1:1" x14ac:dyDescent="0.3">
      <c r="A201" s="7" t="s">
        <v>7</v>
      </c>
    </row>
    <row r="202" spans="1:1" x14ac:dyDescent="0.3">
      <c r="A202" s="7" t="s">
        <v>8</v>
      </c>
    </row>
    <row r="203" spans="1:1" x14ac:dyDescent="0.3">
      <c r="A203" s="7" t="s">
        <v>9</v>
      </c>
    </row>
    <row r="204" spans="1:1" x14ac:dyDescent="0.3">
      <c r="A204" s="7" t="s">
        <v>10</v>
      </c>
    </row>
    <row r="205" spans="1:1" x14ac:dyDescent="0.3">
      <c r="A205" s="7" t="s">
        <v>11</v>
      </c>
    </row>
    <row r="206" spans="1:1" x14ac:dyDescent="0.3">
      <c r="A206" s="7" t="s">
        <v>12</v>
      </c>
    </row>
    <row r="207" spans="1:1" x14ac:dyDescent="0.3">
      <c r="A207" s="7" t="s">
        <v>13</v>
      </c>
    </row>
    <row r="208" spans="1:1" x14ac:dyDescent="0.3">
      <c r="A208" s="7" t="s">
        <v>14</v>
      </c>
    </row>
    <row r="209" spans="1:1" x14ac:dyDescent="0.3">
      <c r="A209" s="7" t="s">
        <v>15</v>
      </c>
    </row>
    <row r="210" spans="1:1" x14ac:dyDescent="0.3">
      <c r="A210" s="7" t="s">
        <v>16</v>
      </c>
    </row>
    <row r="211" spans="1:1" x14ac:dyDescent="0.3">
      <c r="A211" s="7" t="s">
        <v>17</v>
      </c>
    </row>
    <row r="212" spans="1:1" x14ac:dyDescent="0.3">
      <c r="A212" s="7" t="s">
        <v>18</v>
      </c>
    </row>
    <row r="213" spans="1:1" x14ac:dyDescent="0.3">
      <c r="A213" s="6" t="s">
        <v>26</v>
      </c>
    </row>
    <row r="214" spans="1:1" x14ac:dyDescent="0.3">
      <c r="A214" s="7" t="s">
        <v>7</v>
      </c>
    </row>
    <row r="215" spans="1:1" x14ac:dyDescent="0.3">
      <c r="A215" s="7" t="s">
        <v>8</v>
      </c>
    </row>
    <row r="216" spans="1:1" x14ac:dyDescent="0.3">
      <c r="A216" s="7" t="s">
        <v>9</v>
      </c>
    </row>
    <row r="217" spans="1:1" x14ac:dyDescent="0.3">
      <c r="A217" s="7" t="s">
        <v>10</v>
      </c>
    </row>
    <row r="218" spans="1:1" x14ac:dyDescent="0.3">
      <c r="A218" s="7" t="s">
        <v>11</v>
      </c>
    </row>
    <row r="219" spans="1:1" x14ac:dyDescent="0.3">
      <c r="A219" s="7" t="s">
        <v>12</v>
      </c>
    </row>
    <row r="220" spans="1:1" x14ac:dyDescent="0.3">
      <c r="A220" s="7" t="s">
        <v>13</v>
      </c>
    </row>
    <row r="221" spans="1:1" x14ac:dyDescent="0.3">
      <c r="A221" s="7" t="s">
        <v>14</v>
      </c>
    </row>
    <row r="222" spans="1:1" x14ac:dyDescent="0.3">
      <c r="A222" s="7" t="s">
        <v>15</v>
      </c>
    </row>
    <row r="223" spans="1:1" x14ac:dyDescent="0.3">
      <c r="A223" s="7" t="s">
        <v>16</v>
      </c>
    </row>
    <row r="224" spans="1:1" x14ac:dyDescent="0.3">
      <c r="A224" s="7" t="s">
        <v>17</v>
      </c>
    </row>
    <row r="225" spans="1:1" x14ac:dyDescent="0.3">
      <c r="A225" s="7" t="s">
        <v>18</v>
      </c>
    </row>
    <row r="226" spans="1:1" x14ac:dyDescent="0.3">
      <c r="A226" s="6" t="s">
        <v>27</v>
      </c>
    </row>
    <row r="227" spans="1:1" x14ac:dyDescent="0.3">
      <c r="A227" s="7" t="s">
        <v>7</v>
      </c>
    </row>
    <row r="228" spans="1:1" x14ac:dyDescent="0.3">
      <c r="A228" s="7" t="s">
        <v>8</v>
      </c>
    </row>
    <row r="229" spans="1:1" x14ac:dyDescent="0.3">
      <c r="A229" s="7" t="s">
        <v>9</v>
      </c>
    </row>
    <row r="230" spans="1:1" x14ac:dyDescent="0.3">
      <c r="A230" s="7" t="s">
        <v>10</v>
      </c>
    </row>
    <row r="231" spans="1:1" x14ac:dyDescent="0.3">
      <c r="A231" s="7" t="s">
        <v>11</v>
      </c>
    </row>
    <row r="232" spans="1:1" x14ac:dyDescent="0.3">
      <c r="A232" s="7" t="s">
        <v>12</v>
      </c>
    </row>
    <row r="233" spans="1:1" x14ac:dyDescent="0.3">
      <c r="A233" s="7" t="s">
        <v>13</v>
      </c>
    </row>
    <row r="234" spans="1:1" x14ac:dyDescent="0.3">
      <c r="A234" s="7" t="s">
        <v>14</v>
      </c>
    </row>
    <row r="235" spans="1:1" x14ac:dyDescent="0.3">
      <c r="A235" s="7" t="s">
        <v>15</v>
      </c>
    </row>
    <row r="236" spans="1:1" x14ac:dyDescent="0.3">
      <c r="A236" s="7" t="s">
        <v>16</v>
      </c>
    </row>
    <row r="237" spans="1:1" x14ac:dyDescent="0.3">
      <c r="A237" s="7" t="s">
        <v>17</v>
      </c>
    </row>
    <row r="238" spans="1:1" x14ac:dyDescent="0.3">
      <c r="A238" s="7" t="s">
        <v>18</v>
      </c>
    </row>
    <row r="239" spans="1:1" x14ac:dyDescent="0.3">
      <c r="A239" s="6" t="s">
        <v>28</v>
      </c>
    </row>
    <row r="240" spans="1:1" x14ac:dyDescent="0.3">
      <c r="A240" s="7" t="s">
        <v>7</v>
      </c>
    </row>
    <row r="241" spans="1:1" x14ac:dyDescent="0.3">
      <c r="A241" s="7" t="s">
        <v>8</v>
      </c>
    </row>
    <row r="242" spans="1:1" x14ac:dyDescent="0.3">
      <c r="A242" s="7" t="s">
        <v>9</v>
      </c>
    </row>
    <row r="243" spans="1:1" x14ac:dyDescent="0.3">
      <c r="A243" s="7" t="s">
        <v>10</v>
      </c>
    </row>
    <row r="244" spans="1:1" x14ac:dyDescent="0.3">
      <c r="A244" s="7" t="s">
        <v>11</v>
      </c>
    </row>
    <row r="245" spans="1:1" x14ac:dyDescent="0.3">
      <c r="A245" s="7" t="s">
        <v>12</v>
      </c>
    </row>
    <row r="246" spans="1:1" x14ac:dyDescent="0.3">
      <c r="A246" s="7" t="s">
        <v>13</v>
      </c>
    </row>
    <row r="247" spans="1:1" x14ac:dyDescent="0.3">
      <c r="A247" s="7" t="s">
        <v>14</v>
      </c>
    </row>
    <row r="248" spans="1:1" x14ac:dyDescent="0.3">
      <c r="A248" s="7" t="s">
        <v>15</v>
      </c>
    </row>
    <row r="249" spans="1:1" x14ac:dyDescent="0.3">
      <c r="A249" s="7" t="s">
        <v>16</v>
      </c>
    </row>
    <row r="250" spans="1:1" x14ac:dyDescent="0.3">
      <c r="A250" s="7" t="s">
        <v>17</v>
      </c>
    </row>
    <row r="251" spans="1:1" x14ac:dyDescent="0.3">
      <c r="A251" s="7" t="s">
        <v>18</v>
      </c>
    </row>
    <row r="252" spans="1:1" x14ac:dyDescent="0.3">
      <c r="A252" s="6" t="s">
        <v>29</v>
      </c>
    </row>
    <row r="253" spans="1:1" x14ac:dyDescent="0.3">
      <c r="A253" s="7" t="s">
        <v>7</v>
      </c>
    </row>
    <row r="254" spans="1:1" x14ac:dyDescent="0.3">
      <c r="A254" s="7" t="s">
        <v>8</v>
      </c>
    </row>
    <row r="255" spans="1:1" x14ac:dyDescent="0.3">
      <c r="A255" s="7" t="s">
        <v>9</v>
      </c>
    </row>
    <row r="256" spans="1:1" x14ac:dyDescent="0.3">
      <c r="A256" s="7" t="s">
        <v>10</v>
      </c>
    </row>
    <row r="257" spans="1:1" x14ac:dyDescent="0.3">
      <c r="A257" s="7" t="s">
        <v>11</v>
      </c>
    </row>
    <row r="258" spans="1:1" x14ac:dyDescent="0.3">
      <c r="A258" s="7" t="s">
        <v>12</v>
      </c>
    </row>
    <row r="259" spans="1:1" x14ac:dyDescent="0.3">
      <c r="A259" s="7" t="s">
        <v>13</v>
      </c>
    </row>
    <row r="260" spans="1:1" x14ac:dyDescent="0.3">
      <c r="A260" s="7" t="s">
        <v>14</v>
      </c>
    </row>
    <row r="261" spans="1:1" x14ac:dyDescent="0.3">
      <c r="A261" s="7" t="s">
        <v>15</v>
      </c>
    </row>
    <row r="262" spans="1:1" x14ac:dyDescent="0.3">
      <c r="A262" s="7" t="s">
        <v>16</v>
      </c>
    </row>
    <row r="263" spans="1:1" x14ac:dyDescent="0.3">
      <c r="A263" s="7" t="s">
        <v>17</v>
      </c>
    </row>
    <row r="264" spans="1:1" x14ac:dyDescent="0.3">
      <c r="A264" s="7" t="s">
        <v>18</v>
      </c>
    </row>
    <row r="265" spans="1:1" x14ac:dyDescent="0.3">
      <c r="A265" s="6" t="s">
        <v>30</v>
      </c>
    </row>
    <row r="266" spans="1:1" x14ac:dyDescent="0.3">
      <c r="A266" s="7" t="s">
        <v>7</v>
      </c>
    </row>
    <row r="267" spans="1:1" x14ac:dyDescent="0.3">
      <c r="A267" s="7" t="s">
        <v>8</v>
      </c>
    </row>
    <row r="268" spans="1:1" x14ac:dyDescent="0.3">
      <c r="A268" s="7" t="s">
        <v>9</v>
      </c>
    </row>
    <row r="269" spans="1:1" x14ac:dyDescent="0.3">
      <c r="A269" s="7" t="s">
        <v>10</v>
      </c>
    </row>
    <row r="270" spans="1:1" x14ac:dyDescent="0.3">
      <c r="A270" s="7" t="s">
        <v>11</v>
      </c>
    </row>
    <row r="271" spans="1:1" x14ac:dyDescent="0.3">
      <c r="A271" s="7" t="s">
        <v>12</v>
      </c>
    </row>
    <row r="272" spans="1:1" x14ac:dyDescent="0.3">
      <c r="A272" s="7" t="s">
        <v>13</v>
      </c>
    </row>
    <row r="273" spans="1:1" x14ac:dyDescent="0.3">
      <c r="A273" s="7" t="s">
        <v>14</v>
      </c>
    </row>
    <row r="274" spans="1:1" x14ac:dyDescent="0.3">
      <c r="A274" s="7" t="s">
        <v>15</v>
      </c>
    </row>
    <row r="275" spans="1:1" x14ac:dyDescent="0.3">
      <c r="A275" s="7" t="s">
        <v>16</v>
      </c>
    </row>
    <row r="276" spans="1:1" x14ac:dyDescent="0.3">
      <c r="A276" s="7" t="s">
        <v>17</v>
      </c>
    </row>
    <row r="277" spans="1:1" x14ac:dyDescent="0.3">
      <c r="A277" s="7" t="s">
        <v>18</v>
      </c>
    </row>
    <row r="278" spans="1:1" x14ac:dyDescent="0.3">
      <c r="A278" s="5" t="s">
        <v>23</v>
      </c>
    </row>
    <row r="279" spans="1:1" x14ac:dyDescent="0.3">
      <c r="A279" s="6" t="s">
        <v>20</v>
      </c>
    </row>
    <row r="280" spans="1:1" x14ac:dyDescent="0.3">
      <c r="A280" s="7" t="s">
        <v>7</v>
      </c>
    </row>
    <row r="281" spans="1:1" x14ac:dyDescent="0.3">
      <c r="A281" s="7" t="s">
        <v>8</v>
      </c>
    </row>
    <row r="282" spans="1:1" x14ac:dyDescent="0.3">
      <c r="A282" s="7" t="s">
        <v>9</v>
      </c>
    </row>
    <row r="283" spans="1:1" x14ac:dyDescent="0.3">
      <c r="A283" s="7" t="s">
        <v>10</v>
      </c>
    </row>
    <row r="284" spans="1:1" x14ac:dyDescent="0.3">
      <c r="A284" s="7" t="s">
        <v>11</v>
      </c>
    </row>
    <row r="285" spans="1:1" x14ac:dyDescent="0.3">
      <c r="A285" s="7" t="s">
        <v>12</v>
      </c>
    </row>
    <row r="286" spans="1:1" x14ac:dyDescent="0.3">
      <c r="A286" s="7" t="s">
        <v>13</v>
      </c>
    </row>
    <row r="287" spans="1:1" x14ac:dyDescent="0.3">
      <c r="A287" s="7" t="s">
        <v>14</v>
      </c>
    </row>
    <row r="288" spans="1:1" x14ac:dyDescent="0.3">
      <c r="A288" s="7" t="s">
        <v>15</v>
      </c>
    </row>
    <row r="289" spans="1:1" x14ac:dyDescent="0.3">
      <c r="A289" s="7" t="s">
        <v>16</v>
      </c>
    </row>
    <row r="290" spans="1:1" x14ac:dyDescent="0.3">
      <c r="A290" s="7" t="s">
        <v>17</v>
      </c>
    </row>
    <row r="291" spans="1:1" x14ac:dyDescent="0.3">
      <c r="A291" s="7" t="s">
        <v>18</v>
      </c>
    </row>
    <row r="292" spans="1:1" x14ac:dyDescent="0.3">
      <c r="A292" s="6" t="s">
        <v>26</v>
      </c>
    </row>
    <row r="293" spans="1:1" x14ac:dyDescent="0.3">
      <c r="A293" s="7" t="s">
        <v>7</v>
      </c>
    </row>
    <row r="294" spans="1:1" x14ac:dyDescent="0.3">
      <c r="A294" s="7" t="s">
        <v>8</v>
      </c>
    </row>
    <row r="295" spans="1:1" x14ac:dyDescent="0.3">
      <c r="A295" s="7" t="s">
        <v>9</v>
      </c>
    </row>
    <row r="296" spans="1:1" x14ac:dyDescent="0.3">
      <c r="A296" s="7" t="s">
        <v>10</v>
      </c>
    </row>
    <row r="297" spans="1:1" x14ac:dyDescent="0.3">
      <c r="A297" s="7" t="s">
        <v>12</v>
      </c>
    </row>
    <row r="298" spans="1:1" x14ac:dyDescent="0.3">
      <c r="A298" s="7" t="s">
        <v>13</v>
      </c>
    </row>
    <row r="299" spans="1:1" x14ac:dyDescent="0.3">
      <c r="A299" s="7" t="s">
        <v>14</v>
      </c>
    </row>
    <row r="300" spans="1:1" x14ac:dyDescent="0.3">
      <c r="A300" s="7" t="s">
        <v>15</v>
      </c>
    </row>
    <row r="301" spans="1:1" x14ac:dyDescent="0.3">
      <c r="A301" s="7" t="s">
        <v>16</v>
      </c>
    </row>
    <row r="302" spans="1:1" x14ac:dyDescent="0.3">
      <c r="A302" s="7" t="s">
        <v>17</v>
      </c>
    </row>
    <row r="303" spans="1:1" x14ac:dyDescent="0.3">
      <c r="A303" s="7" t="s">
        <v>18</v>
      </c>
    </row>
    <row r="304" spans="1:1" x14ac:dyDescent="0.3">
      <c r="A304" s="6" t="s">
        <v>27</v>
      </c>
    </row>
    <row r="305" spans="1:1" x14ac:dyDescent="0.3">
      <c r="A305" s="7" t="s">
        <v>7</v>
      </c>
    </row>
    <row r="306" spans="1:1" x14ac:dyDescent="0.3">
      <c r="A306" s="7" t="s">
        <v>8</v>
      </c>
    </row>
    <row r="307" spans="1:1" x14ac:dyDescent="0.3">
      <c r="A307" s="7" t="s">
        <v>9</v>
      </c>
    </row>
    <row r="308" spans="1:1" x14ac:dyDescent="0.3">
      <c r="A308" s="7" t="s">
        <v>10</v>
      </c>
    </row>
    <row r="309" spans="1:1" x14ac:dyDescent="0.3">
      <c r="A309" s="7" t="s">
        <v>11</v>
      </c>
    </row>
    <row r="310" spans="1:1" x14ac:dyDescent="0.3">
      <c r="A310" s="7" t="s">
        <v>14</v>
      </c>
    </row>
    <row r="311" spans="1:1" x14ac:dyDescent="0.3">
      <c r="A311" s="7" t="s">
        <v>15</v>
      </c>
    </row>
    <row r="312" spans="1:1" x14ac:dyDescent="0.3">
      <c r="A312" s="7" t="s">
        <v>16</v>
      </c>
    </row>
    <row r="313" spans="1:1" x14ac:dyDescent="0.3">
      <c r="A313" s="7" t="s">
        <v>18</v>
      </c>
    </row>
    <row r="314" spans="1:1" x14ac:dyDescent="0.3">
      <c r="A314" s="6" t="s">
        <v>28</v>
      </c>
    </row>
    <row r="315" spans="1:1" x14ac:dyDescent="0.3">
      <c r="A315" s="7" t="s">
        <v>7</v>
      </c>
    </row>
    <row r="316" spans="1:1" x14ac:dyDescent="0.3">
      <c r="A316" s="7" t="s">
        <v>8</v>
      </c>
    </row>
    <row r="317" spans="1:1" x14ac:dyDescent="0.3">
      <c r="A317" s="7" t="s">
        <v>10</v>
      </c>
    </row>
    <row r="318" spans="1:1" x14ac:dyDescent="0.3">
      <c r="A318" s="7" t="s">
        <v>11</v>
      </c>
    </row>
    <row r="319" spans="1:1" x14ac:dyDescent="0.3">
      <c r="A319" s="7" t="s">
        <v>12</v>
      </c>
    </row>
    <row r="320" spans="1:1" x14ac:dyDescent="0.3">
      <c r="A320" s="7" t="s">
        <v>13</v>
      </c>
    </row>
    <row r="321" spans="1:1" x14ac:dyDescent="0.3">
      <c r="A321" s="7" t="s">
        <v>14</v>
      </c>
    </row>
    <row r="322" spans="1:1" x14ac:dyDescent="0.3">
      <c r="A322" s="7" t="s">
        <v>15</v>
      </c>
    </row>
    <row r="323" spans="1:1" x14ac:dyDescent="0.3">
      <c r="A323" s="7" t="s">
        <v>17</v>
      </c>
    </row>
    <row r="324" spans="1:1" x14ac:dyDescent="0.3">
      <c r="A324" s="7" t="s">
        <v>18</v>
      </c>
    </row>
    <row r="325" spans="1:1" x14ac:dyDescent="0.3">
      <c r="A325" s="6" t="s">
        <v>29</v>
      </c>
    </row>
    <row r="326" spans="1:1" x14ac:dyDescent="0.3">
      <c r="A326" s="7" t="s">
        <v>7</v>
      </c>
    </row>
    <row r="327" spans="1:1" x14ac:dyDescent="0.3">
      <c r="A327" s="7" t="s">
        <v>8</v>
      </c>
    </row>
    <row r="328" spans="1:1" x14ac:dyDescent="0.3">
      <c r="A328" s="7" t="s">
        <v>9</v>
      </c>
    </row>
    <row r="329" spans="1:1" x14ac:dyDescent="0.3">
      <c r="A329" s="7" t="s">
        <v>10</v>
      </c>
    </row>
    <row r="330" spans="1:1" x14ac:dyDescent="0.3">
      <c r="A330" s="7" t="s">
        <v>11</v>
      </c>
    </row>
    <row r="331" spans="1:1" x14ac:dyDescent="0.3">
      <c r="A331" s="7" t="s">
        <v>12</v>
      </c>
    </row>
    <row r="332" spans="1:1" x14ac:dyDescent="0.3">
      <c r="A332" s="7" t="s">
        <v>13</v>
      </c>
    </row>
    <row r="333" spans="1:1" x14ac:dyDescent="0.3">
      <c r="A333" s="7" t="s">
        <v>14</v>
      </c>
    </row>
    <row r="334" spans="1:1" x14ac:dyDescent="0.3">
      <c r="A334" s="7" t="s">
        <v>16</v>
      </c>
    </row>
    <row r="335" spans="1:1" x14ac:dyDescent="0.3">
      <c r="A335" s="7" t="s">
        <v>17</v>
      </c>
    </row>
    <row r="336" spans="1:1" x14ac:dyDescent="0.3">
      <c r="A336" s="7" t="s">
        <v>18</v>
      </c>
    </row>
    <row r="337" spans="1:1" x14ac:dyDescent="0.3">
      <c r="A337" s="6" t="s">
        <v>30</v>
      </c>
    </row>
    <row r="338" spans="1:1" x14ac:dyDescent="0.3">
      <c r="A338" s="7" t="s">
        <v>7</v>
      </c>
    </row>
    <row r="339" spans="1:1" x14ac:dyDescent="0.3">
      <c r="A339" s="7" t="s">
        <v>8</v>
      </c>
    </row>
    <row r="340" spans="1:1" x14ac:dyDescent="0.3">
      <c r="A340" s="7" t="s">
        <v>9</v>
      </c>
    </row>
    <row r="341" spans="1:1" x14ac:dyDescent="0.3">
      <c r="A341" s="7" t="s">
        <v>10</v>
      </c>
    </row>
    <row r="342" spans="1:1" x14ac:dyDescent="0.3">
      <c r="A342" s="7" t="s">
        <v>11</v>
      </c>
    </row>
    <row r="343" spans="1:1" x14ac:dyDescent="0.3">
      <c r="A343" s="7" t="s">
        <v>12</v>
      </c>
    </row>
    <row r="344" spans="1:1" x14ac:dyDescent="0.3">
      <c r="A344" s="7" t="s">
        <v>13</v>
      </c>
    </row>
    <row r="345" spans="1:1" x14ac:dyDescent="0.3">
      <c r="A345" s="7" t="s">
        <v>14</v>
      </c>
    </row>
    <row r="346" spans="1:1" x14ac:dyDescent="0.3">
      <c r="A346" s="7" t="s">
        <v>15</v>
      </c>
    </row>
    <row r="347" spans="1:1" x14ac:dyDescent="0.3">
      <c r="A347" s="7" t="s">
        <v>16</v>
      </c>
    </row>
    <row r="348" spans="1:1" x14ac:dyDescent="0.3">
      <c r="A348" s="7" t="s">
        <v>17</v>
      </c>
    </row>
    <row r="349" spans="1:1" x14ac:dyDescent="0.3">
      <c r="A349" s="7" t="s">
        <v>18</v>
      </c>
    </row>
    <row r="350" spans="1:1" x14ac:dyDescent="0.3">
      <c r="A350" s="5" t="s">
        <v>24</v>
      </c>
    </row>
    <row r="351" spans="1:1" x14ac:dyDescent="0.3">
      <c r="A351" s="6" t="s">
        <v>20</v>
      </c>
    </row>
    <row r="352" spans="1:1" x14ac:dyDescent="0.3">
      <c r="A352" s="7" t="s">
        <v>7</v>
      </c>
    </row>
    <row r="353" spans="1:1" x14ac:dyDescent="0.3">
      <c r="A353" s="7" t="s">
        <v>8</v>
      </c>
    </row>
    <row r="354" spans="1:1" x14ac:dyDescent="0.3">
      <c r="A354" s="7" t="s">
        <v>9</v>
      </c>
    </row>
    <row r="355" spans="1:1" x14ac:dyDescent="0.3">
      <c r="A355" s="7" t="s">
        <v>10</v>
      </c>
    </row>
    <row r="356" spans="1:1" x14ac:dyDescent="0.3">
      <c r="A356" s="7" t="s">
        <v>11</v>
      </c>
    </row>
    <row r="357" spans="1:1" x14ac:dyDescent="0.3">
      <c r="A357" s="7" t="s">
        <v>12</v>
      </c>
    </row>
    <row r="358" spans="1:1" x14ac:dyDescent="0.3">
      <c r="A358" s="7" t="s">
        <v>13</v>
      </c>
    </row>
    <row r="359" spans="1:1" x14ac:dyDescent="0.3">
      <c r="A359" s="7" t="s">
        <v>14</v>
      </c>
    </row>
    <row r="360" spans="1:1" x14ac:dyDescent="0.3">
      <c r="A360" s="7" t="s">
        <v>15</v>
      </c>
    </row>
    <row r="361" spans="1:1" x14ac:dyDescent="0.3">
      <c r="A361" s="7" t="s">
        <v>16</v>
      </c>
    </row>
    <row r="362" spans="1:1" x14ac:dyDescent="0.3">
      <c r="A362" s="7" t="s">
        <v>17</v>
      </c>
    </row>
    <row r="363" spans="1:1" x14ac:dyDescent="0.3">
      <c r="A363" s="7" t="s">
        <v>18</v>
      </c>
    </row>
    <row r="364" spans="1:1" x14ac:dyDescent="0.3">
      <c r="A364" s="6" t="s">
        <v>26</v>
      </c>
    </row>
    <row r="365" spans="1:1" x14ac:dyDescent="0.3">
      <c r="A365" s="7" t="s">
        <v>7</v>
      </c>
    </row>
    <row r="366" spans="1:1" x14ac:dyDescent="0.3">
      <c r="A366" s="7" t="s">
        <v>8</v>
      </c>
    </row>
    <row r="367" spans="1:1" x14ac:dyDescent="0.3">
      <c r="A367" s="7" t="s">
        <v>9</v>
      </c>
    </row>
    <row r="368" spans="1:1" x14ac:dyDescent="0.3">
      <c r="A368" s="7" t="s">
        <v>10</v>
      </c>
    </row>
    <row r="369" spans="1:1" x14ac:dyDescent="0.3">
      <c r="A369" s="7" t="s">
        <v>11</v>
      </c>
    </row>
    <row r="370" spans="1:1" x14ac:dyDescent="0.3">
      <c r="A370" s="7" t="s">
        <v>12</v>
      </c>
    </row>
    <row r="371" spans="1:1" x14ac:dyDescent="0.3">
      <c r="A371" s="7" t="s">
        <v>13</v>
      </c>
    </row>
    <row r="372" spans="1:1" x14ac:dyDescent="0.3">
      <c r="A372" s="7" t="s">
        <v>14</v>
      </c>
    </row>
    <row r="373" spans="1:1" x14ac:dyDescent="0.3">
      <c r="A373" s="7" t="s">
        <v>15</v>
      </c>
    </row>
    <row r="374" spans="1:1" x14ac:dyDescent="0.3">
      <c r="A374" s="7" t="s">
        <v>16</v>
      </c>
    </row>
    <row r="375" spans="1:1" x14ac:dyDescent="0.3">
      <c r="A375" s="7" t="s">
        <v>17</v>
      </c>
    </row>
    <row r="376" spans="1:1" x14ac:dyDescent="0.3">
      <c r="A376" s="7" t="s">
        <v>18</v>
      </c>
    </row>
    <row r="377" spans="1:1" x14ac:dyDescent="0.3">
      <c r="A377" s="6" t="s">
        <v>27</v>
      </c>
    </row>
    <row r="378" spans="1:1" x14ac:dyDescent="0.3">
      <c r="A378" s="7" t="s">
        <v>7</v>
      </c>
    </row>
    <row r="379" spans="1:1" x14ac:dyDescent="0.3">
      <c r="A379" s="7" t="s">
        <v>8</v>
      </c>
    </row>
    <row r="380" spans="1:1" x14ac:dyDescent="0.3">
      <c r="A380" s="7" t="s">
        <v>9</v>
      </c>
    </row>
    <row r="381" spans="1:1" x14ac:dyDescent="0.3">
      <c r="A381" s="7" t="s">
        <v>10</v>
      </c>
    </row>
    <row r="382" spans="1:1" x14ac:dyDescent="0.3">
      <c r="A382" s="7" t="s">
        <v>11</v>
      </c>
    </row>
    <row r="383" spans="1:1" x14ac:dyDescent="0.3">
      <c r="A383" s="7" t="s">
        <v>12</v>
      </c>
    </row>
    <row r="384" spans="1:1" x14ac:dyDescent="0.3">
      <c r="A384" s="7" t="s">
        <v>13</v>
      </c>
    </row>
    <row r="385" spans="1:1" x14ac:dyDescent="0.3">
      <c r="A385" s="7" t="s">
        <v>14</v>
      </c>
    </row>
    <row r="386" spans="1:1" x14ac:dyDescent="0.3">
      <c r="A386" s="7" t="s">
        <v>15</v>
      </c>
    </row>
    <row r="387" spans="1:1" x14ac:dyDescent="0.3">
      <c r="A387" s="7" t="s">
        <v>16</v>
      </c>
    </row>
    <row r="388" spans="1:1" x14ac:dyDescent="0.3">
      <c r="A388" s="7" t="s">
        <v>17</v>
      </c>
    </row>
    <row r="389" spans="1:1" x14ac:dyDescent="0.3">
      <c r="A389" s="7" t="s">
        <v>18</v>
      </c>
    </row>
    <row r="390" spans="1:1" x14ac:dyDescent="0.3">
      <c r="A390" s="6" t="s">
        <v>28</v>
      </c>
    </row>
    <row r="391" spans="1:1" x14ac:dyDescent="0.3">
      <c r="A391" s="7" t="s">
        <v>7</v>
      </c>
    </row>
    <row r="392" spans="1:1" x14ac:dyDescent="0.3">
      <c r="A392" s="7" t="s">
        <v>8</v>
      </c>
    </row>
    <row r="393" spans="1:1" x14ac:dyDescent="0.3">
      <c r="A393" s="7" t="s">
        <v>9</v>
      </c>
    </row>
    <row r="394" spans="1:1" x14ac:dyDescent="0.3">
      <c r="A394" s="7" t="s">
        <v>10</v>
      </c>
    </row>
    <row r="395" spans="1:1" x14ac:dyDescent="0.3">
      <c r="A395" s="7" t="s">
        <v>11</v>
      </c>
    </row>
    <row r="396" spans="1:1" x14ac:dyDescent="0.3">
      <c r="A396" s="7" t="s">
        <v>12</v>
      </c>
    </row>
    <row r="397" spans="1:1" x14ac:dyDescent="0.3">
      <c r="A397" s="7" t="s">
        <v>13</v>
      </c>
    </row>
    <row r="398" spans="1:1" x14ac:dyDescent="0.3">
      <c r="A398" s="7" t="s">
        <v>14</v>
      </c>
    </row>
    <row r="399" spans="1:1" x14ac:dyDescent="0.3">
      <c r="A399" s="7" t="s">
        <v>15</v>
      </c>
    </row>
    <row r="400" spans="1:1" x14ac:dyDescent="0.3">
      <c r="A400" s="7" t="s">
        <v>16</v>
      </c>
    </row>
    <row r="401" spans="1:1" x14ac:dyDescent="0.3">
      <c r="A401" s="7" t="s">
        <v>17</v>
      </c>
    </row>
    <row r="402" spans="1:1" x14ac:dyDescent="0.3">
      <c r="A402" s="7" t="s">
        <v>18</v>
      </c>
    </row>
    <row r="403" spans="1:1" x14ac:dyDescent="0.3">
      <c r="A403" s="6" t="s">
        <v>29</v>
      </c>
    </row>
    <row r="404" spans="1:1" x14ac:dyDescent="0.3">
      <c r="A404" s="7" t="s">
        <v>7</v>
      </c>
    </row>
    <row r="405" spans="1:1" x14ac:dyDescent="0.3">
      <c r="A405" s="7" t="s">
        <v>8</v>
      </c>
    </row>
    <row r="406" spans="1:1" x14ac:dyDescent="0.3">
      <c r="A406" s="7" t="s">
        <v>9</v>
      </c>
    </row>
    <row r="407" spans="1:1" x14ac:dyDescent="0.3">
      <c r="A407" s="7" t="s">
        <v>10</v>
      </c>
    </row>
    <row r="408" spans="1:1" x14ac:dyDescent="0.3">
      <c r="A408" s="7" t="s">
        <v>11</v>
      </c>
    </row>
    <row r="409" spans="1:1" x14ac:dyDescent="0.3">
      <c r="A409" s="7" t="s">
        <v>12</v>
      </c>
    </row>
    <row r="410" spans="1:1" x14ac:dyDescent="0.3">
      <c r="A410" s="7" t="s">
        <v>13</v>
      </c>
    </row>
    <row r="411" spans="1:1" x14ac:dyDescent="0.3">
      <c r="A411" s="7" t="s">
        <v>14</v>
      </c>
    </row>
    <row r="412" spans="1:1" x14ac:dyDescent="0.3">
      <c r="A412" s="7" t="s">
        <v>15</v>
      </c>
    </row>
    <row r="413" spans="1:1" x14ac:dyDescent="0.3">
      <c r="A413" s="7" t="s">
        <v>16</v>
      </c>
    </row>
    <row r="414" spans="1:1" x14ac:dyDescent="0.3">
      <c r="A414" s="7" t="s">
        <v>17</v>
      </c>
    </row>
    <row r="415" spans="1:1" x14ac:dyDescent="0.3">
      <c r="A415" s="7" t="s">
        <v>18</v>
      </c>
    </row>
    <row r="416" spans="1:1" x14ac:dyDescent="0.3">
      <c r="A416" s="6" t="s">
        <v>30</v>
      </c>
    </row>
    <row r="417" spans="1:1" x14ac:dyDescent="0.3">
      <c r="A417" s="7" t="s">
        <v>7</v>
      </c>
    </row>
    <row r="418" spans="1:1" x14ac:dyDescent="0.3">
      <c r="A418" s="7" t="s">
        <v>8</v>
      </c>
    </row>
    <row r="419" spans="1:1" x14ac:dyDescent="0.3">
      <c r="A419" s="7" t="s">
        <v>9</v>
      </c>
    </row>
    <row r="420" spans="1:1" x14ac:dyDescent="0.3">
      <c r="A420" s="7" t="s">
        <v>10</v>
      </c>
    </row>
    <row r="421" spans="1:1" x14ac:dyDescent="0.3">
      <c r="A421" s="7" t="s">
        <v>11</v>
      </c>
    </row>
    <row r="422" spans="1:1" x14ac:dyDescent="0.3">
      <c r="A422" s="7" t="s">
        <v>12</v>
      </c>
    </row>
    <row r="423" spans="1:1" x14ac:dyDescent="0.3">
      <c r="A423" s="7" t="s">
        <v>13</v>
      </c>
    </row>
    <row r="424" spans="1:1" x14ac:dyDescent="0.3">
      <c r="A424" s="7" t="s">
        <v>14</v>
      </c>
    </row>
    <row r="425" spans="1:1" x14ac:dyDescent="0.3">
      <c r="A425" s="7" t="s">
        <v>15</v>
      </c>
    </row>
    <row r="426" spans="1:1" x14ac:dyDescent="0.3">
      <c r="A426" s="7" t="s">
        <v>16</v>
      </c>
    </row>
    <row r="427" spans="1:1" x14ac:dyDescent="0.3">
      <c r="A427" s="7" t="s">
        <v>17</v>
      </c>
    </row>
    <row r="428" spans="1:1" x14ac:dyDescent="0.3">
      <c r="A428" s="7" t="s">
        <v>18</v>
      </c>
    </row>
    <row r="429" spans="1:1" x14ac:dyDescent="0.3">
      <c r="A429" s="5" t="s">
        <v>6</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8C3B7-9D9A-42CD-BA8D-2FBB98651F2B}">
  <dimension ref="A1:T13"/>
  <sheetViews>
    <sheetView showGridLines="0" tabSelected="1" topLeftCell="I1" zoomScaleNormal="100" workbookViewId="0">
      <selection activeCell="X12" sqref="X12"/>
    </sheetView>
  </sheetViews>
  <sheetFormatPr defaultRowHeight="14.4" x14ac:dyDescent="0.3"/>
  <cols>
    <col min="3" max="4" width="6.5546875" customWidth="1"/>
    <col min="5" max="5" width="12.44140625" bestFit="1" customWidth="1"/>
    <col min="6" max="6" width="10" bestFit="1" customWidth="1"/>
    <col min="7" max="7" width="8.109375" bestFit="1" customWidth="1"/>
    <col min="8" max="8" width="13.109375" bestFit="1" customWidth="1"/>
    <col min="20" max="20" width="12" bestFit="1" customWidth="1"/>
  </cols>
  <sheetData>
    <row r="1" spans="1:20" ht="36.6" x14ac:dyDescent="0.7">
      <c r="A1" s="1" t="s">
        <v>2</v>
      </c>
      <c r="D1" s="2" t="s">
        <v>3</v>
      </c>
    </row>
    <row r="6" spans="1:20" x14ac:dyDescent="0.3">
      <c r="T6" s="4"/>
    </row>
    <row r="7" spans="1:20" x14ac:dyDescent="0.3">
      <c r="E7" s="3" t="s">
        <v>19</v>
      </c>
      <c r="F7" t="s">
        <v>33</v>
      </c>
      <c r="G7" t="s">
        <v>32</v>
      </c>
      <c r="H7" t="s">
        <v>31</v>
      </c>
      <c r="T7" s="4"/>
    </row>
    <row r="8" spans="1:20" x14ac:dyDescent="0.3">
      <c r="E8" s="5" t="s">
        <v>20</v>
      </c>
      <c r="F8">
        <v>9027026.9000000004</v>
      </c>
      <c r="G8">
        <v>2595</v>
      </c>
      <c r="H8">
        <v>4640312.08</v>
      </c>
      <c r="T8" s="4">
        <f>GETPIVOTDATA("[Measures].[Count of Order_ID]",Sheet1!$A$1)</f>
        <v>1200</v>
      </c>
    </row>
    <row r="9" spans="1:20" x14ac:dyDescent="0.3">
      <c r="E9" s="5" t="s">
        <v>21</v>
      </c>
      <c r="F9">
        <v>9027026.9000000004</v>
      </c>
      <c r="G9">
        <v>2595</v>
      </c>
      <c r="H9">
        <v>3928722.14</v>
      </c>
      <c r="T9" s="4">
        <f>GETPIVOTDATA("[Measures].[Count of Discount_%]",Sheet1!$A$6)</f>
        <v>1028</v>
      </c>
    </row>
    <row r="10" spans="1:20" x14ac:dyDescent="0.3">
      <c r="E10" s="5" t="s">
        <v>22</v>
      </c>
      <c r="F10">
        <v>9027026.9000000004</v>
      </c>
      <c r="G10">
        <v>2595</v>
      </c>
      <c r="H10">
        <v>8373432.9199999999</v>
      </c>
      <c r="T10" s="4">
        <f>GETPIVOTDATA("[Measures].[Sum of Order_Amount]",Sheet1!$A$9)</f>
        <v>30249850.620000001</v>
      </c>
    </row>
    <row r="11" spans="1:20" x14ac:dyDescent="0.3">
      <c r="E11" s="5" t="s">
        <v>23</v>
      </c>
      <c r="F11">
        <v>9027026.9000000004</v>
      </c>
      <c r="G11">
        <v>2595</v>
      </c>
      <c r="H11">
        <v>3987731.86</v>
      </c>
      <c r="T11" s="4">
        <f>GETPIVOTDATA("[Measures].[Sum of Quantity]",Sheet1!$A$12)</f>
        <v>2595</v>
      </c>
    </row>
    <row r="12" spans="1:20" x14ac:dyDescent="0.3">
      <c r="E12" s="5" t="s">
        <v>24</v>
      </c>
      <c r="F12">
        <v>9027026.9000000004</v>
      </c>
      <c r="G12">
        <v>2595</v>
      </c>
      <c r="H12">
        <v>9319651.6199999992</v>
      </c>
    </row>
    <row r="13" spans="1:20" x14ac:dyDescent="0.3">
      <c r="E13" s="5" t="s">
        <v>6</v>
      </c>
      <c r="F13">
        <v>9027026.9000000004</v>
      </c>
      <c r="G13">
        <v>2595</v>
      </c>
      <c r="H13">
        <v>30249850.620000001</v>
      </c>
    </row>
  </sheetData>
  <conditionalFormatting pivot="1" sqref="F8:F12">
    <cfRule type="dataBar" priority="3">
      <dataBar>
        <cfvo type="min"/>
        <cfvo type="max"/>
        <color rgb="FF638EC6"/>
      </dataBar>
      <extLst>
        <ext xmlns:x14="http://schemas.microsoft.com/office/spreadsheetml/2009/9/main" uri="{B025F937-C7B1-47D3-B67F-A62EFF666E3E}">
          <x14:id>{8270ED06-FF5E-49D6-AA0B-AD5506C171F8}</x14:id>
        </ext>
      </extLst>
    </cfRule>
  </conditionalFormatting>
  <conditionalFormatting pivot="1" sqref="G8:G12">
    <cfRule type="dataBar" priority="2">
      <dataBar>
        <cfvo type="min"/>
        <cfvo type="max"/>
        <color rgb="FFFFB628"/>
      </dataBar>
      <extLst>
        <ext xmlns:x14="http://schemas.microsoft.com/office/spreadsheetml/2009/9/main" uri="{B025F937-C7B1-47D3-B67F-A62EFF666E3E}">
          <x14:id>{97767963-16BA-4C13-BBC0-91B6E41D50B8}</x14:id>
        </ext>
      </extLst>
    </cfRule>
  </conditionalFormatting>
  <conditionalFormatting pivot="1" sqref="H8:H12">
    <cfRule type="dataBar" priority="1">
      <dataBar>
        <cfvo type="min"/>
        <cfvo type="max"/>
        <color rgb="FFD6007B"/>
      </dataBar>
      <extLst>
        <ext xmlns:x14="http://schemas.microsoft.com/office/spreadsheetml/2009/9/main" uri="{B025F937-C7B1-47D3-B67F-A62EFF666E3E}">
          <x14:id>{C9235172-3863-4722-B0F0-711DE7BF1AC3}</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8270ED06-FF5E-49D6-AA0B-AD5506C171F8}">
            <x14:dataBar minLength="0" maxLength="100" border="1" negativeBarBorderColorSameAsPositive="0">
              <x14:cfvo type="autoMin"/>
              <x14:cfvo type="autoMax"/>
              <x14:borderColor rgb="FF638EC6"/>
              <x14:negativeFillColor rgb="FFFF0000"/>
              <x14:negativeBorderColor rgb="FFFF0000"/>
              <x14:axisColor rgb="FF000000"/>
            </x14:dataBar>
          </x14:cfRule>
          <xm:sqref>F8:F12</xm:sqref>
        </x14:conditionalFormatting>
        <x14:conditionalFormatting xmlns:xm="http://schemas.microsoft.com/office/excel/2006/main" pivot="1">
          <x14:cfRule type="dataBar" id="{97767963-16BA-4C13-BBC0-91B6E41D50B8}">
            <x14:dataBar minLength="0" maxLength="100" border="1" negativeBarBorderColorSameAsPositive="0">
              <x14:cfvo type="autoMin"/>
              <x14:cfvo type="autoMax"/>
              <x14:borderColor rgb="FFFFB628"/>
              <x14:negativeFillColor rgb="FFFF0000"/>
              <x14:negativeBorderColor rgb="FFFF0000"/>
              <x14:axisColor rgb="FF000000"/>
            </x14:dataBar>
          </x14:cfRule>
          <xm:sqref>G8:G12</xm:sqref>
        </x14:conditionalFormatting>
        <x14:conditionalFormatting xmlns:xm="http://schemas.microsoft.com/office/excel/2006/main" pivot="1">
          <x14:cfRule type="dataBar" id="{C9235172-3863-4722-B0F0-711DE7BF1AC3}">
            <x14:dataBar minLength="0" maxLength="100" border="1" negativeBarBorderColorSameAsPositive="0">
              <x14:cfvo type="autoMin"/>
              <x14:cfvo type="autoMax"/>
              <x14:borderColor rgb="FFD6007B"/>
              <x14:negativeFillColor rgb="FFFF0000"/>
              <x14:negativeBorderColor rgb="FFFF0000"/>
              <x14:axisColor rgb="FF000000"/>
            </x14:dataBar>
          </x14:cfRule>
          <xm:sqref>H8:H12</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F34765-143D-4CF7-B56D-6AC8598FE4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Varshini suresh</dc:creator>
  <cp:lastModifiedBy>Varshini suresh</cp:lastModifiedBy>
  <dcterms:created xsi:type="dcterms:W3CDTF">2026-01-12T08:33:04Z</dcterms:created>
  <dcterms:modified xsi:type="dcterms:W3CDTF">2026-01-20T14:05:45Z</dcterms:modified>
</cp:coreProperties>
</file>